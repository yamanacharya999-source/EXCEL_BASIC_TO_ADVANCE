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B9D45DDD-5C10-42AA-83C9-42538522B931}" xr6:coauthVersionLast="47" xr6:coauthVersionMax="47" xr10:uidLastSave="{00000000-0000-0000-0000-000000000000}"/>
  <bookViews>
    <workbookView xWindow="-120" yWindow="-120" windowWidth="20730" windowHeight="11160" firstSheet="27" activeTab="31" xr2:uid="{A77D8D71-96B3-455B-ACE1-5275695DDC28}"/>
  </bookViews>
  <sheets>
    <sheet name="Sheet1" sheetId="1" r:id="rId1"/>
    <sheet name="Sheet2" sheetId="2" r:id="rId2"/>
    <sheet name="Sheet4" sheetId="4" r:id="rId3"/>
    <sheet name="Sheet5" sheetId="5" r:id="rId4"/>
    <sheet name="Sheet6" sheetId="6" r:id="rId5"/>
    <sheet name="Sheet7" sheetId="7" r:id="rId6"/>
    <sheet name="Sheet8" sheetId="8" r:id="rId7"/>
    <sheet name="Sheet9" sheetId="9" r:id="rId8"/>
    <sheet name="Sheet10" sheetId="10" r:id="rId9"/>
    <sheet name="Sheet11" sheetId="11" r:id="rId10"/>
    <sheet name="Sheet12" sheetId="12" r:id="rId11"/>
    <sheet name="Sheet13" sheetId="13" r:id="rId12"/>
    <sheet name="Sheet14" sheetId="14" r:id="rId13"/>
    <sheet name="Sheet15" sheetId="15" r:id="rId14"/>
    <sheet name="Sheet16" sheetId="16" r:id="rId15"/>
    <sheet name="Sheet17" sheetId="17" r:id="rId16"/>
    <sheet name="Sheet18" sheetId="18" r:id="rId17"/>
    <sheet name="Sheet19" sheetId="19" r:id="rId18"/>
    <sheet name="Sheet20" sheetId="20" r:id="rId19"/>
    <sheet name="Sheet21" sheetId="21" r:id="rId20"/>
    <sheet name="Sheet22" sheetId="22" r:id="rId21"/>
    <sheet name="Sheet23" sheetId="23" r:id="rId22"/>
    <sheet name="Sheet24" sheetId="24" r:id="rId23"/>
    <sheet name="Sheet25" sheetId="25" r:id="rId24"/>
    <sheet name="Sheet26" sheetId="26" r:id="rId25"/>
    <sheet name="Sheet27" sheetId="27" r:id="rId26"/>
    <sheet name="Sheet28" sheetId="28" r:id="rId27"/>
    <sheet name="Sheet29" sheetId="29" r:id="rId28"/>
    <sheet name="Sheet30" sheetId="30" r:id="rId29"/>
    <sheet name="Sheet37" sheetId="37" r:id="rId30"/>
    <sheet name="Sheet39" sheetId="39" r:id="rId31"/>
    <sheet name="Sheet31" sheetId="31" r:id="rId32"/>
    <sheet name="Sheet32" sheetId="32" r:id="rId33"/>
    <sheet name="Sheet33" sheetId="33" r:id="rId34"/>
    <sheet name="Sheet34" sheetId="34" r:id="rId35"/>
    <sheet name="Sheet35" sheetId="35" r:id="rId36"/>
  </sheets>
  <calcPr calcId="181029"/>
  <pivotCaches>
    <pivotCache cacheId="0" r:id="rId37"/>
    <pivotCache cacheId="1" r:id="rId38"/>
    <pivotCache cacheId="2" r:id="rId3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30" l="1"/>
  <c r="C10" i="30"/>
  <c r="A36" i="29"/>
  <c r="D15" i="29"/>
  <c r="C14" i="29"/>
  <c r="S7" i="28"/>
  <c r="S8" i="28"/>
  <c r="S9" i="28"/>
  <c r="S10" i="28"/>
  <c r="S11" i="28"/>
  <c r="S12" i="28"/>
  <c r="S13" i="28"/>
  <c r="S14" i="28"/>
  <c r="S15" i="28"/>
  <c r="S16" i="28"/>
  <c r="S17" i="28"/>
  <c r="S18" i="28"/>
  <c r="S19" i="28"/>
  <c r="S20" i="28"/>
  <c r="S21" i="28"/>
  <c r="S22" i="28"/>
  <c r="S23" i="28"/>
  <c r="S24" i="28"/>
  <c r="S25" i="28"/>
  <c r="S6" i="28"/>
  <c r="R7" i="28"/>
  <c r="R8" i="28"/>
  <c r="R9" i="28"/>
  <c r="R10" i="28"/>
  <c r="R11" i="28"/>
  <c r="R12" i="28"/>
  <c r="R13" i="28"/>
  <c r="R14" i="28"/>
  <c r="R15" i="28"/>
  <c r="R16" i="28"/>
  <c r="R17" i="28"/>
  <c r="R18" i="28"/>
  <c r="R19" i="28"/>
  <c r="R20" i="28"/>
  <c r="R21" i="28"/>
  <c r="R22" i="28"/>
  <c r="R23" i="28"/>
  <c r="R24" i="28"/>
  <c r="R25" i="28"/>
  <c r="R6" i="28"/>
  <c r="Q7" i="28"/>
  <c r="Q8" i="28"/>
  <c r="Q9" i="28"/>
  <c r="Q10" i="28"/>
  <c r="Q11" i="28"/>
  <c r="Q12" i="28"/>
  <c r="Q13" i="28"/>
  <c r="Q14" i="28"/>
  <c r="Q15" i="28"/>
  <c r="Q16" i="28"/>
  <c r="Q17" i="28"/>
  <c r="Q18" i="28"/>
  <c r="Q19" i="28"/>
  <c r="Q20" i="28"/>
  <c r="Q21" i="28"/>
  <c r="Q22" i="28"/>
  <c r="Q23" i="28"/>
  <c r="Q24" i="28"/>
  <c r="Q25" i="28"/>
  <c r="Q6" i="28"/>
  <c r="D6" i="27"/>
  <c r="D7" i="27"/>
  <c r="D8" i="27"/>
  <c r="D9" i="27"/>
  <c r="D10" i="27"/>
  <c r="D11" i="27"/>
  <c r="D12" i="27"/>
  <c r="D13" i="27"/>
  <c r="D5" i="27"/>
  <c r="C8" i="26"/>
  <c r="H30" i="25"/>
  <c r="I30" i="25" s="1"/>
  <c r="J30" i="25" s="1"/>
  <c r="H29" i="25"/>
  <c r="I29" i="25" s="1"/>
  <c r="J29" i="25" s="1"/>
  <c r="H28" i="25"/>
  <c r="I28" i="25" s="1"/>
  <c r="J28" i="25" s="1"/>
  <c r="H27" i="25"/>
  <c r="I27" i="25" s="1"/>
  <c r="J27" i="25" s="1"/>
  <c r="H26" i="25"/>
  <c r="I26" i="25" s="1"/>
  <c r="J26" i="25" s="1"/>
  <c r="H25" i="25"/>
  <c r="I25" i="25" s="1"/>
  <c r="J25" i="25" s="1"/>
  <c r="H24" i="25"/>
  <c r="I24" i="25" s="1"/>
  <c r="J24" i="25" s="1"/>
  <c r="G28" i="25"/>
  <c r="G24" i="25"/>
  <c r="G25" i="25"/>
  <c r="G26" i="25"/>
  <c r="G27" i="25"/>
  <c r="G29" i="25"/>
  <c r="G30" i="25"/>
  <c r="H23" i="25"/>
  <c r="I23" i="25" s="1"/>
  <c r="J23" i="25" s="1"/>
  <c r="G23" i="25"/>
  <c r="H22" i="25"/>
  <c r="I22" i="25" s="1"/>
  <c r="J22" i="25" s="1"/>
  <c r="G22" i="25"/>
  <c r="H21" i="25"/>
  <c r="I21" i="25" s="1"/>
  <c r="J21" i="25" s="1"/>
  <c r="G21" i="25"/>
  <c r="C40" i="24"/>
  <c r="B40" i="24"/>
  <c r="B39" i="24"/>
  <c r="J36" i="24"/>
  <c r="I36" i="24"/>
  <c r="C33" i="24"/>
  <c r="B33" i="24"/>
  <c r="C31" i="24"/>
  <c r="C29" i="24"/>
  <c r="E21" i="23"/>
  <c r="E20" i="23"/>
  <c r="E19" i="23"/>
  <c r="E18" i="23"/>
  <c r="E17" i="23"/>
  <c r="E16" i="23"/>
  <c r="D16" i="23"/>
  <c r="H14" i="21"/>
  <c r="H13" i="21"/>
  <c r="G13" i="21"/>
  <c r="G9" i="19"/>
  <c r="G8" i="19"/>
  <c r="G7" i="19"/>
  <c r="G6" i="19"/>
  <c r="H10" i="18"/>
  <c r="H9" i="18"/>
  <c r="G9" i="18"/>
  <c r="H8" i="18"/>
  <c r="H7" i="18"/>
  <c r="H6" i="18"/>
  <c r="H5" i="18"/>
  <c r="G5" i="18"/>
  <c r="D21" i="17"/>
  <c r="D20" i="17"/>
  <c r="D19" i="17"/>
  <c r="D18" i="17"/>
  <c r="D17" i="17"/>
  <c r="D16" i="17"/>
  <c r="D15" i="17"/>
  <c r="D14" i="17"/>
  <c r="D13" i="17"/>
  <c r="C16" i="17"/>
  <c r="C11" i="17"/>
  <c r="C10" i="17"/>
  <c r="C10" i="16"/>
  <c r="D10" i="16"/>
  <c r="D9" i="16"/>
  <c r="C9" i="16"/>
  <c r="H6" i="15"/>
  <c r="H7" i="15"/>
  <c r="H8" i="15"/>
  <c r="H9" i="15"/>
  <c r="H10" i="15"/>
  <c r="H11" i="15"/>
  <c r="H12" i="15"/>
  <c r="H13" i="15"/>
  <c r="H14" i="15"/>
  <c r="H5" i="15"/>
  <c r="G5" i="15"/>
  <c r="G6" i="15"/>
  <c r="G7" i="15"/>
  <c r="G8" i="15"/>
  <c r="G9" i="15"/>
  <c r="G10" i="15"/>
  <c r="G11" i="15"/>
  <c r="G12" i="15"/>
  <c r="G13" i="15"/>
  <c r="G14" i="15"/>
  <c r="C49" i="14"/>
  <c r="C48" i="14"/>
  <c r="C45" i="14"/>
  <c r="C46" i="14"/>
  <c r="C42" i="14"/>
  <c r="C28" i="13"/>
  <c r="D32" i="13"/>
  <c r="C32" i="13"/>
  <c r="C17" i="13"/>
  <c r="D19" i="12"/>
  <c r="F16" i="11"/>
  <c r="D30" i="10"/>
  <c r="E26" i="10"/>
  <c r="C24" i="10"/>
  <c r="I5" i="9"/>
  <c r="I6" i="9"/>
  <c r="I7" i="9"/>
  <c r="I8" i="9"/>
  <c r="I9" i="9"/>
  <c r="I10" i="9"/>
  <c r="I11" i="9"/>
  <c r="I12" i="9"/>
  <c r="I13" i="9"/>
  <c r="I14" i="9"/>
  <c r="I15" i="9"/>
  <c r="I4" i="9"/>
  <c r="H5" i="9"/>
  <c r="H6" i="9"/>
  <c r="H7" i="9"/>
  <c r="H8" i="9"/>
  <c r="H9" i="9"/>
  <c r="H10" i="9"/>
  <c r="H11" i="9"/>
  <c r="H12" i="9"/>
  <c r="H13" i="9"/>
  <c r="H14" i="9"/>
  <c r="H15" i="9"/>
  <c r="H4" i="9"/>
  <c r="C29" i="8"/>
  <c r="B29" i="8"/>
  <c r="K7" i="8"/>
  <c r="K8" i="8"/>
  <c r="K9" i="8"/>
  <c r="K10" i="8"/>
  <c r="K11" i="8"/>
  <c r="K12" i="8"/>
  <c r="K13" i="8"/>
  <c r="K14" i="8"/>
  <c r="K15" i="8"/>
  <c r="K6" i="8"/>
  <c r="E23" i="8"/>
  <c r="E22" i="8"/>
  <c r="H20" i="8"/>
  <c r="D18" i="8"/>
  <c r="J7" i="8"/>
  <c r="J8" i="8"/>
  <c r="J9" i="8"/>
  <c r="J10" i="8"/>
  <c r="J11" i="8"/>
  <c r="J12" i="8"/>
  <c r="J13" i="8"/>
  <c r="J14" i="8"/>
  <c r="J15" i="8"/>
  <c r="F6" i="8"/>
  <c r="J6" i="8"/>
  <c r="I9" i="8"/>
  <c r="I10" i="8"/>
  <c r="I11" i="8"/>
  <c r="I12" i="8"/>
  <c r="I13" i="8"/>
  <c r="I14" i="8"/>
  <c r="I15" i="8"/>
  <c r="I8" i="8"/>
  <c r="I7" i="8"/>
  <c r="I6" i="8"/>
  <c r="D16" i="7"/>
  <c r="J7" i="7"/>
  <c r="K7" i="7" s="1"/>
  <c r="J8" i="7"/>
  <c r="K8" i="7" s="1"/>
  <c r="J9" i="7"/>
  <c r="K9" i="7" s="1"/>
  <c r="J10" i="7"/>
  <c r="K10" i="7" s="1"/>
  <c r="J11" i="7"/>
  <c r="K11" i="7" s="1"/>
  <c r="J12" i="7"/>
  <c r="K12" i="7" s="1"/>
  <c r="J13" i="7"/>
  <c r="K13" i="7" s="1"/>
  <c r="J14" i="7"/>
  <c r="K14" i="7" s="1"/>
  <c r="I7" i="7"/>
  <c r="I8" i="7"/>
  <c r="I9" i="7"/>
  <c r="I10" i="7"/>
  <c r="I11" i="7"/>
  <c r="I12" i="7"/>
  <c r="I13" i="7"/>
  <c r="I14" i="7"/>
  <c r="H7" i="7"/>
  <c r="H8" i="7"/>
  <c r="H9" i="7"/>
  <c r="H10" i="7"/>
  <c r="H11" i="7"/>
  <c r="H12" i="7"/>
  <c r="H13" i="7"/>
  <c r="H14" i="7"/>
  <c r="J6" i="7"/>
  <c r="K6" i="7" s="1"/>
  <c r="I6" i="7"/>
  <c r="H6" i="7"/>
  <c r="J5" i="7"/>
  <c r="K5" i="7" s="1"/>
  <c r="I5" i="7"/>
  <c r="H5" i="7"/>
  <c r="J4" i="7"/>
  <c r="K4" i="7" s="1"/>
  <c r="I4" i="7"/>
  <c r="H4" i="7"/>
  <c r="B46" i="6"/>
  <c r="D35" i="6"/>
  <c r="E35" i="6"/>
  <c r="C35" i="6"/>
  <c r="G33" i="6"/>
  <c r="M4" i="2"/>
  <c r="G29" i="6"/>
  <c r="C26" i="6"/>
  <c r="E21" i="5"/>
  <c r="N5" i="5"/>
  <c r="N6" i="5"/>
  <c r="N7" i="5"/>
  <c r="N8" i="5"/>
  <c r="N9" i="5"/>
  <c r="N10" i="5"/>
  <c r="N11" i="5"/>
  <c r="N12" i="5"/>
  <c r="N13" i="5"/>
  <c r="N4" i="5"/>
  <c r="N3" i="5"/>
  <c r="L13" i="5"/>
  <c r="L4" i="5"/>
  <c r="L5" i="5"/>
  <c r="L6" i="5"/>
  <c r="L7" i="5"/>
  <c r="L8" i="5"/>
  <c r="L9" i="5"/>
  <c r="L10" i="5"/>
  <c r="L11" i="5"/>
  <c r="L12" i="5"/>
  <c r="L3" i="5"/>
  <c r="C23" i="4"/>
  <c r="D23" i="4"/>
  <c r="C20" i="4"/>
  <c r="D15" i="4"/>
  <c r="C15" i="4"/>
  <c r="B15" i="4"/>
  <c r="N5" i="4"/>
  <c r="N6" i="4"/>
  <c r="N7" i="4"/>
  <c r="N8" i="4"/>
  <c r="N9" i="4"/>
  <c r="N10" i="4"/>
  <c r="N11" i="4"/>
  <c r="N4" i="4"/>
  <c r="I4" i="4"/>
  <c r="M5" i="4"/>
  <c r="M6" i="4"/>
  <c r="M7" i="4"/>
  <c r="M8" i="4"/>
  <c r="M9" i="4"/>
  <c r="M10" i="4"/>
  <c r="M11" i="4"/>
  <c r="M4" i="4"/>
  <c r="L5" i="4"/>
  <c r="L6" i="4"/>
  <c r="L7" i="4"/>
  <c r="L8" i="4"/>
  <c r="L9" i="4"/>
  <c r="L10" i="4"/>
  <c r="L11" i="4"/>
  <c r="L4" i="4"/>
  <c r="K6" i="4"/>
  <c r="K7" i="4"/>
  <c r="K8" i="4"/>
  <c r="K9" i="4"/>
  <c r="K10" i="4"/>
  <c r="K11" i="4"/>
  <c r="K5" i="4"/>
  <c r="K4" i="4"/>
  <c r="J6" i="4"/>
  <c r="J7" i="4"/>
  <c r="J8" i="4"/>
  <c r="J9" i="4"/>
  <c r="J10" i="4"/>
  <c r="J11" i="4"/>
  <c r="J5" i="4"/>
  <c r="J4" i="4"/>
  <c r="K6" i="2"/>
  <c r="I7" i="2"/>
  <c r="J6" i="2"/>
  <c r="I6" i="2"/>
  <c r="N4" i="2"/>
  <c r="J2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J11" i="1"/>
  <c r="J6" i="1"/>
  <c r="J2" i="1"/>
  <c r="I2" i="1"/>
  <c r="H2" i="1"/>
  <c r="H3" i="1"/>
  <c r="H4" i="1"/>
  <c r="H5" i="1"/>
  <c r="I5" i="1" s="1"/>
  <c r="J5" i="1" s="1"/>
  <c r="H6" i="1"/>
  <c r="H7" i="1"/>
  <c r="H8" i="1"/>
  <c r="H9" i="1"/>
  <c r="I9" i="1" s="1"/>
  <c r="J9" i="1" s="1"/>
  <c r="H10" i="1"/>
  <c r="H11" i="1"/>
  <c r="I3" i="1"/>
  <c r="J3" i="1" s="1"/>
  <c r="I4" i="1"/>
  <c r="J4" i="1" s="1"/>
  <c r="I6" i="1"/>
  <c r="I7" i="1"/>
  <c r="J7" i="1" s="1"/>
  <c r="I8" i="1"/>
  <c r="J8" i="1" s="1"/>
  <c r="I10" i="1"/>
  <c r="I11" i="1"/>
  <c r="J10" i="1"/>
  <c r="F47" i="32"/>
  <c r="F26" i="32"/>
  <c r="F27" i="32"/>
  <c r="F28" i="32"/>
  <c r="F29" i="32"/>
  <c r="F30" i="32"/>
  <c r="F31" i="32"/>
  <c r="F32" i="32"/>
  <c r="F33" i="32"/>
  <c r="F34" i="32"/>
  <c r="F35" i="32"/>
  <c r="F36" i="32"/>
  <c r="F37" i="32"/>
  <c r="F38" i="32"/>
  <c r="F39" i="32"/>
  <c r="F40" i="32"/>
  <c r="F41" i="32"/>
  <c r="F42" i="32"/>
  <c r="F43" i="32"/>
  <c r="F44" i="32"/>
  <c r="F45" i="32"/>
  <c r="F46" i="32"/>
  <c r="F25" i="32"/>
  <c r="F24" i="32"/>
  <c r="F20" i="32"/>
  <c r="F21" i="32"/>
  <c r="F22" i="32"/>
  <c r="F23" i="32"/>
  <c r="F19" i="32"/>
  <c r="F15" i="32"/>
  <c r="F16" i="32"/>
  <c r="F17" i="32"/>
  <c r="F18" i="32"/>
  <c r="F14" i="32"/>
  <c r="F13" i="32"/>
  <c r="F12" i="32"/>
  <c r="F11" i="32"/>
  <c r="F10" i="32"/>
  <c r="F9" i="32"/>
  <c r="E9" i="32"/>
  <c r="E10" i="32"/>
  <c r="E11" i="32"/>
  <c r="E12" i="32"/>
  <c r="E13" i="32"/>
  <c r="E14" i="32"/>
  <c r="E15" i="32"/>
  <c r="E16" i="32"/>
  <c r="E17" i="32"/>
  <c r="E18" i="32"/>
  <c r="E19" i="32"/>
  <c r="E20" i="32"/>
  <c r="E21" i="32"/>
  <c r="E22" i="32"/>
  <c r="E23" i="32"/>
  <c r="E24" i="32"/>
  <c r="E25" i="32"/>
  <c r="E26" i="32"/>
  <c r="E27" i="32"/>
  <c r="E28" i="32"/>
  <c r="E29" i="32"/>
  <c r="E30" i="32"/>
  <c r="E31" i="32"/>
  <c r="E32" i="32"/>
  <c r="E33" i="32"/>
  <c r="E34" i="32"/>
  <c r="E35" i="32"/>
  <c r="E36" i="32"/>
  <c r="E37" i="32"/>
  <c r="E38" i="32"/>
  <c r="E39" i="32"/>
  <c r="E40" i="32"/>
  <c r="E41" i="32"/>
  <c r="E42" i="32"/>
  <c r="E43" i="32"/>
  <c r="E44" i="32"/>
  <c r="E45" i="32"/>
  <c r="E46" i="32"/>
  <c r="E47" i="32"/>
  <c r="E8" i="32"/>
  <c r="F8" i="32" s="1"/>
  <c r="D55" i="34"/>
  <c r="D48" i="34"/>
  <c r="D41" i="34"/>
  <c r="D37" i="34"/>
  <c r="J26" i="34"/>
  <c r="C38" i="35"/>
  <c r="C37" i="35"/>
  <c r="C36" i="35"/>
  <c r="E36" i="35"/>
  <c r="B31" i="35"/>
  <c r="B30" i="35"/>
  <c r="B29" i="35"/>
  <c r="B28" i="35"/>
  <c r="B27" i="35"/>
  <c r="B23" i="35"/>
  <c r="B22" i="35"/>
  <c r="B21" i="35"/>
  <c r="B20" i="35"/>
  <c r="B19" i="35"/>
  <c r="B15" i="35"/>
  <c r="B14" i="35"/>
  <c r="B13" i="35"/>
  <c r="C9" i="35"/>
  <c r="C8" i="35"/>
  <c r="C7" i="35"/>
  <c r="C6" i="35"/>
  <c r="C5" i="35"/>
  <c r="C13" i="35" l="1"/>
  <c r="C19" i="35"/>
  <c r="C27" i="35"/>
  <c r="D36" i="35"/>
  <c r="D28" i="34"/>
  <c r="E37" i="34"/>
  <c r="E41" i="34"/>
  <c r="E48" i="34"/>
  <c r="E55" i="34"/>
  <c r="C39" i="33"/>
  <c r="C38" i="33"/>
  <c r="C37" i="33"/>
  <c r="D10" i="33"/>
  <c r="D9" i="33"/>
  <c r="D8" i="33"/>
  <c r="D7" i="33"/>
  <c r="D6" i="33"/>
  <c r="D5" i="33"/>
  <c r="G5" i="33"/>
  <c r="C5" i="7"/>
  <c r="C4" i="7"/>
  <c r="B35" i="31"/>
  <c r="B32" i="31"/>
  <c r="B29" i="31"/>
  <c r="F26" i="31"/>
  <c r="C26" i="31"/>
  <c r="E23" i="30"/>
  <c r="E19" i="30"/>
  <c r="E20" i="30"/>
  <c r="E21" i="30"/>
  <c r="E22" i="30"/>
  <c r="E24" i="30"/>
  <c r="E25" i="30"/>
  <c r="E26" i="30"/>
  <c r="E27" i="30"/>
  <c r="E28" i="30"/>
  <c r="E29" i="30"/>
  <c r="E30" i="30"/>
  <c r="E31" i="30"/>
  <c r="E32" i="30"/>
  <c r="E33" i="30"/>
  <c r="E34" i="30"/>
  <c r="E35" i="30"/>
  <c r="E36" i="30"/>
  <c r="E37" i="30"/>
  <c r="E18" i="30"/>
  <c r="G31" i="29"/>
  <c r="C31" i="29"/>
  <c r="C17" i="29"/>
  <c r="G14" i="29"/>
  <c r="N7" i="28"/>
  <c r="N8" i="28"/>
  <c r="N9" i="28"/>
  <c r="N10" i="28"/>
  <c r="N11" i="28"/>
  <c r="N12" i="28"/>
  <c r="N13" i="28"/>
  <c r="N14" i="28"/>
  <c r="N15" i="28"/>
  <c r="N16" i="28"/>
  <c r="N17" i="28"/>
  <c r="N18" i="28"/>
  <c r="N19" i="28"/>
  <c r="N20" i="28"/>
  <c r="N21" i="28"/>
  <c r="N22" i="28"/>
  <c r="N23" i="28"/>
  <c r="N24" i="28"/>
  <c r="N25" i="28"/>
  <c r="N6" i="28"/>
  <c r="M7" i="28"/>
  <c r="M8" i="28"/>
  <c r="M9" i="28"/>
  <c r="M10" i="28"/>
  <c r="M11" i="28"/>
  <c r="M12" i="28"/>
  <c r="M13" i="28"/>
  <c r="M14" i="28"/>
  <c r="M15" i="28"/>
  <c r="M16" i="28"/>
  <c r="M17" i="28"/>
  <c r="M18" i="28"/>
  <c r="M19" i="28"/>
  <c r="M20" i="28"/>
  <c r="M21" i="28"/>
  <c r="M22" i="28"/>
  <c r="M23" i="28"/>
  <c r="M24" i="28"/>
  <c r="M25" i="28"/>
  <c r="M6" i="28"/>
  <c r="L7" i="28"/>
  <c r="L8" i="28"/>
  <c r="L9" i="28"/>
  <c r="L10" i="28"/>
  <c r="L11" i="28"/>
  <c r="L12" i="28"/>
  <c r="L13" i="28"/>
  <c r="L14" i="28"/>
  <c r="L15" i="28"/>
  <c r="L16" i="28"/>
  <c r="L17" i="28"/>
  <c r="L18" i="28"/>
  <c r="L19" i="28"/>
  <c r="L20" i="28"/>
  <c r="L21" i="28"/>
  <c r="L22" i="28"/>
  <c r="L23" i="28"/>
  <c r="L24" i="28"/>
  <c r="L25" i="28"/>
  <c r="L6" i="28"/>
  <c r="L18" i="27"/>
  <c r="C13" i="27"/>
  <c r="C12" i="27"/>
  <c r="C11" i="27"/>
  <c r="C10" i="27"/>
  <c r="C9" i="27"/>
  <c r="C8" i="27"/>
  <c r="C6" i="27"/>
  <c r="C7" i="27"/>
  <c r="C5" i="27"/>
  <c r="B46" i="26"/>
  <c r="B40" i="26"/>
  <c r="C24" i="26"/>
  <c r="C17" i="26"/>
  <c r="B34" i="26"/>
  <c r="B8" i="26"/>
  <c r="C30" i="25" l="1"/>
  <c r="D30" i="25" s="1"/>
  <c r="E30" i="25" s="1"/>
  <c r="B30" i="25"/>
  <c r="C29" i="25"/>
  <c r="D29" i="25" s="1"/>
  <c r="E29" i="25" s="1"/>
  <c r="B29" i="25"/>
  <c r="E28" i="25"/>
  <c r="D28" i="25"/>
  <c r="C28" i="25"/>
  <c r="B28" i="25"/>
  <c r="E27" i="25"/>
  <c r="D27" i="25"/>
  <c r="C27" i="25"/>
  <c r="B27" i="25"/>
  <c r="E26" i="25"/>
  <c r="D26" i="25"/>
  <c r="C26" i="25"/>
  <c r="B26" i="25"/>
  <c r="E25" i="25"/>
  <c r="D25" i="25"/>
  <c r="C25" i="25"/>
  <c r="B25" i="25"/>
  <c r="E24" i="25"/>
  <c r="D24" i="25"/>
  <c r="C24" i="25"/>
  <c r="B24" i="25"/>
  <c r="C23" i="25"/>
  <c r="D23" i="25" s="1"/>
  <c r="E23" i="25" s="1"/>
  <c r="B23" i="25"/>
  <c r="E22" i="25"/>
  <c r="D22" i="25"/>
  <c r="C22" i="25"/>
  <c r="B22" i="25"/>
  <c r="E21" i="25"/>
  <c r="D21" i="25"/>
  <c r="C21" i="25"/>
  <c r="B21" i="25"/>
  <c r="C39" i="24"/>
  <c r="C36" i="24"/>
  <c r="B36" i="24"/>
  <c r="B24" i="13"/>
  <c r="B30" i="19"/>
  <c r="B31" i="24"/>
  <c r="B29" i="24"/>
  <c r="D21" i="23"/>
  <c r="D20" i="23"/>
  <c r="D19" i="23"/>
  <c r="D18" i="23"/>
  <c r="D17" i="23"/>
  <c r="D10" i="23"/>
  <c r="D9" i="23"/>
  <c r="D8" i="23"/>
  <c r="D7" i="23"/>
  <c r="D6" i="23"/>
  <c r="D5" i="23"/>
  <c r="C9" i="22" l="1"/>
  <c r="C8" i="22"/>
  <c r="C7" i="22"/>
  <c r="C6" i="22"/>
  <c r="C5" i="22"/>
  <c r="G37" i="21"/>
  <c r="I37" i="21"/>
  <c r="I36" i="21"/>
  <c r="A38" i="21"/>
  <c r="C19" i="21"/>
  <c r="C18" i="21"/>
  <c r="G14" i="21"/>
  <c r="F11" i="20"/>
  <c r="F12" i="20"/>
  <c r="F10" i="20"/>
  <c r="F9" i="20"/>
  <c r="F8" i="20"/>
  <c r="F7" i="20"/>
  <c r="F6" i="20"/>
  <c r="F5" i="20"/>
  <c r="B38" i="19"/>
  <c r="A38" i="19"/>
  <c r="B33" i="19"/>
  <c r="D30" i="19"/>
  <c r="C30" i="19"/>
  <c r="F22" i="19"/>
  <c r="F23" i="19"/>
  <c r="F24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G23" i="18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8" i="18"/>
  <c r="G7" i="18"/>
  <c r="G6" i="18"/>
  <c r="C21" i="17"/>
  <c r="C20" i="17"/>
  <c r="C19" i="17"/>
  <c r="C18" i="17"/>
  <c r="C17" i="17"/>
  <c r="C15" i="17"/>
  <c r="C14" i="17"/>
  <c r="C13" i="17"/>
  <c r="C12" i="17"/>
  <c r="D16" i="16"/>
  <c r="D17" i="16"/>
  <c r="D18" i="16"/>
  <c r="D15" i="16"/>
  <c r="C16" i="16"/>
  <c r="C17" i="16"/>
  <c r="C18" i="16"/>
  <c r="C15" i="16"/>
  <c r="D14" i="16"/>
  <c r="C14" i="16"/>
  <c r="D13" i="16"/>
  <c r="C13" i="16"/>
  <c r="D12" i="16"/>
  <c r="C12" i="16"/>
  <c r="D11" i="16"/>
  <c r="C11" i="16"/>
  <c r="C20" i="13"/>
  <c r="C51" i="14"/>
  <c r="C23" i="1"/>
  <c r="C31" i="6"/>
  <c r="D18" i="7"/>
  <c r="D26" i="10"/>
  <c r="G26" i="12"/>
  <c r="G25" i="12"/>
  <c r="C22" i="4"/>
  <c r="F26" i="5"/>
  <c r="E26" i="5"/>
  <c r="G6" i="8"/>
  <c r="E21" i="12"/>
  <c r="E20" i="12"/>
  <c r="G16" i="11"/>
  <c r="C13" i="11"/>
  <c r="J11" i="11"/>
  <c r="J10" i="11"/>
  <c r="J9" i="11"/>
  <c r="J8" i="11"/>
  <c r="J7" i="11"/>
  <c r="J6" i="11"/>
  <c r="J5" i="11"/>
  <c r="C28" i="10"/>
  <c r="C20" i="10"/>
  <c r="F7" i="8"/>
  <c r="G7" i="8" s="1"/>
  <c r="F12" i="8"/>
  <c r="G12" i="8" s="1"/>
  <c r="F8" i="8"/>
  <c r="G8" i="8" s="1"/>
  <c r="C18" i="8"/>
  <c r="E15" i="8"/>
  <c r="F15" i="8" s="1"/>
  <c r="G15" i="8" s="1"/>
  <c r="E14" i="8"/>
  <c r="F14" i="8" s="1"/>
  <c r="G14" i="8" s="1"/>
  <c r="E13" i="8"/>
  <c r="F13" i="8" s="1"/>
  <c r="G13" i="8" s="1"/>
  <c r="E12" i="8"/>
  <c r="E11" i="8"/>
  <c r="F11" i="8" s="1"/>
  <c r="G11" i="8" s="1"/>
  <c r="E10" i="8"/>
  <c r="F10" i="8" s="1"/>
  <c r="G10" i="8" s="1"/>
  <c r="E9" i="8"/>
  <c r="F9" i="8" s="1"/>
  <c r="G9" i="8" s="1"/>
  <c r="E8" i="8"/>
  <c r="E7" i="8"/>
  <c r="E6" i="8"/>
  <c r="E14" i="7"/>
  <c r="F14" i="7" s="1"/>
  <c r="D14" i="7"/>
  <c r="C14" i="7"/>
  <c r="E13" i="7"/>
  <c r="D13" i="7"/>
  <c r="C13" i="7"/>
  <c r="E12" i="7"/>
  <c r="F12" i="7" s="1"/>
  <c r="D12" i="7"/>
  <c r="C12" i="7"/>
  <c r="E11" i="7"/>
  <c r="F11" i="7" s="1"/>
  <c r="D11" i="7"/>
  <c r="C11" i="7"/>
  <c r="E10" i="7"/>
  <c r="F10" i="7" s="1"/>
  <c r="D10" i="7"/>
  <c r="C10" i="7"/>
  <c r="E9" i="7"/>
  <c r="F9" i="7" s="1"/>
  <c r="D9" i="7"/>
  <c r="C9" i="7"/>
  <c r="E8" i="7"/>
  <c r="F8" i="7" s="1"/>
  <c r="D8" i="7"/>
  <c r="C8" i="7"/>
  <c r="E7" i="7"/>
  <c r="F7" i="7" s="1"/>
  <c r="D7" i="7"/>
  <c r="D6" i="7"/>
  <c r="C7" i="7"/>
  <c r="E6" i="7"/>
  <c r="F6" i="7" s="1"/>
  <c r="C6" i="7"/>
  <c r="E4" i="7"/>
  <c r="D4" i="7"/>
  <c r="D5" i="7"/>
  <c r="E5" i="7"/>
  <c r="F5" i="7" s="1"/>
  <c r="C16" i="7"/>
  <c r="D41" i="6"/>
  <c r="E41" i="6"/>
  <c r="C41" i="6"/>
  <c r="F33" i="6"/>
  <c r="B35" i="6"/>
  <c r="F29" i="6"/>
  <c r="C46" i="6"/>
  <c r="E31" i="6"/>
  <c r="D31" i="6"/>
  <c r="D30" i="5"/>
  <c r="B30" i="5"/>
  <c r="B28" i="5"/>
  <c r="C23" i="5"/>
  <c r="B23" i="5"/>
  <c r="J13" i="5"/>
  <c r="J12" i="5"/>
  <c r="J11" i="5"/>
  <c r="J10" i="5"/>
  <c r="J9" i="5"/>
  <c r="J8" i="5"/>
  <c r="J7" i="5"/>
  <c r="J5" i="5"/>
  <c r="J6" i="5"/>
  <c r="J4" i="5"/>
  <c r="D21" i="5"/>
  <c r="H13" i="5"/>
  <c r="H12" i="5"/>
  <c r="H11" i="5"/>
  <c r="H10" i="5"/>
  <c r="H9" i="5"/>
  <c r="H8" i="5"/>
  <c r="H7" i="5"/>
  <c r="H6" i="5"/>
  <c r="H5" i="5"/>
  <c r="H4" i="5"/>
  <c r="H3" i="5"/>
  <c r="D22" i="4"/>
  <c r="I11" i="4"/>
  <c r="I10" i="4"/>
  <c r="I9" i="4"/>
  <c r="I8" i="4"/>
  <c r="I7" i="4"/>
  <c r="I6" i="4"/>
  <c r="I5" i="4"/>
  <c r="C19" i="4"/>
  <c r="D14" i="4"/>
  <c r="C14" i="4"/>
  <c r="B14" i="4"/>
  <c r="H11" i="4"/>
  <c r="H10" i="4"/>
  <c r="H9" i="4"/>
  <c r="H8" i="4"/>
  <c r="H7" i="4"/>
  <c r="H6" i="4"/>
  <c r="H4" i="4"/>
  <c r="H5" i="4"/>
  <c r="G11" i="4"/>
  <c r="G10" i="4"/>
  <c r="G9" i="4"/>
  <c r="G8" i="4"/>
  <c r="G7" i="4"/>
  <c r="G6" i="4"/>
  <c r="G5" i="4"/>
  <c r="G4" i="4"/>
  <c r="F11" i="4"/>
  <c r="F10" i="4"/>
  <c r="F9" i="4"/>
  <c r="F8" i="4"/>
  <c r="F7" i="4"/>
  <c r="F6" i="4"/>
  <c r="F5" i="4"/>
  <c r="F4" i="4"/>
  <c r="E11" i="4"/>
  <c r="E10" i="4"/>
  <c r="E9" i="4"/>
  <c r="E8" i="4"/>
  <c r="E7" i="4"/>
  <c r="E6" i="4"/>
  <c r="E5" i="4"/>
  <c r="E4" i="4"/>
  <c r="C21" i="1"/>
  <c r="D18" i="1"/>
  <c r="C19" i="1"/>
  <c r="C18" i="1"/>
  <c r="D19" i="1"/>
  <c r="C28" i="8" l="1"/>
  <c r="B28" i="8"/>
  <c r="G20" i="8"/>
  <c r="F4" i="7"/>
  <c r="F21" i="7"/>
  <c r="F13" i="7"/>
  <c r="E18" i="7"/>
  <c r="D15" i="1"/>
  <c r="D14" i="1"/>
  <c r="E25" i="7"/>
  <c r="E21" i="7"/>
</calcChain>
</file>

<file path=xl/sharedStrings.xml><?xml version="1.0" encoding="utf-8"?>
<sst xmlns="http://schemas.openxmlformats.org/spreadsheetml/2006/main" count="2205" uniqueCount="1025">
  <si>
    <t>Student Name</t>
  </si>
  <si>
    <t>Hindi</t>
  </si>
  <si>
    <t>English</t>
  </si>
  <si>
    <t>Math</t>
  </si>
  <si>
    <t>Physics</t>
  </si>
  <si>
    <t>Chemistry</t>
  </si>
  <si>
    <t>Total</t>
  </si>
  <si>
    <t>Average</t>
  </si>
  <si>
    <t>Grade</t>
  </si>
  <si>
    <t>Roll No:-</t>
  </si>
  <si>
    <t>Ram</t>
  </si>
  <si>
    <t>Ashok</t>
  </si>
  <si>
    <t>Manoj</t>
  </si>
  <si>
    <t>Rajesh</t>
  </si>
  <si>
    <t>Ranjana</t>
  </si>
  <si>
    <t>Pooja</t>
  </si>
  <si>
    <t>Mahesh</t>
  </si>
  <si>
    <t>Ashutosh</t>
  </si>
  <si>
    <t>Anil</t>
  </si>
  <si>
    <t>Prem</t>
  </si>
  <si>
    <t>Student with "A" Grade</t>
  </si>
  <si>
    <t>Student with "B" Grade</t>
  </si>
  <si>
    <t>Count</t>
  </si>
  <si>
    <t>Countifs</t>
  </si>
  <si>
    <t>SRNO:-</t>
  </si>
  <si>
    <t>QTY</t>
  </si>
  <si>
    <t>ITEMS</t>
  </si>
  <si>
    <t>RATE</t>
  </si>
  <si>
    <t>AMOUNT</t>
  </si>
  <si>
    <t>GRADE</t>
  </si>
  <si>
    <t>AC</t>
  </si>
  <si>
    <t>FRIDGE</t>
  </si>
  <si>
    <t>COOLER</t>
  </si>
  <si>
    <t>WASHING MACHINE</t>
  </si>
  <si>
    <t>TV</t>
  </si>
  <si>
    <t>FAN</t>
  </si>
  <si>
    <t>COMPUTER</t>
  </si>
  <si>
    <t>KEYBOARD</t>
  </si>
  <si>
    <t>MOUSE</t>
  </si>
  <si>
    <t>PRINTER</t>
  </si>
  <si>
    <t>Total items in the list</t>
  </si>
  <si>
    <t>Itrems qty greater than 10 and less than 20</t>
  </si>
  <si>
    <t>Computer</t>
  </si>
  <si>
    <t>Rate</t>
  </si>
  <si>
    <t>Amount</t>
  </si>
  <si>
    <t>ENGLISH</t>
  </si>
  <si>
    <t>PHYSICS</t>
  </si>
  <si>
    <t>CHEMISTRY</t>
  </si>
  <si>
    <t>Use of Formulas:- Sum, Nestedif,Counta,Countif,Sumif,Vlookup</t>
  </si>
  <si>
    <t>Post</t>
  </si>
  <si>
    <t>DA 2.5%</t>
  </si>
  <si>
    <t>Hra 3.5%</t>
  </si>
  <si>
    <t>PF 1.5%</t>
  </si>
  <si>
    <t>Shyam</t>
  </si>
  <si>
    <t>Rahul</t>
  </si>
  <si>
    <t>Rakesh</t>
  </si>
  <si>
    <t>Ashish</t>
  </si>
  <si>
    <t>Manish</t>
  </si>
  <si>
    <t>DEPARTMENT</t>
  </si>
  <si>
    <t>NAME</t>
  </si>
  <si>
    <t>ELECTRICAL</t>
  </si>
  <si>
    <t>FINANCE</t>
  </si>
  <si>
    <t>POST</t>
  </si>
  <si>
    <t>MANAGER</t>
  </si>
  <si>
    <t>SUPERVISOR</t>
  </si>
  <si>
    <t>PION</t>
  </si>
  <si>
    <t>GUARD</t>
  </si>
  <si>
    <t>CASHIER</t>
  </si>
  <si>
    <t>ACCOUNTANT</t>
  </si>
  <si>
    <t>BASIC</t>
  </si>
  <si>
    <t>SALARY SHEET</t>
  </si>
  <si>
    <t>Employees</t>
  </si>
  <si>
    <t>Finance</t>
  </si>
  <si>
    <t>Electrical</t>
  </si>
  <si>
    <t>Basic salary in computer department only</t>
  </si>
  <si>
    <t>Manoj, Ashish Post &amp; Grade</t>
  </si>
  <si>
    <t>Sales Report</t>
  </si>
  <si>
    <t>SALESMAN</t>
  </si>
  <si>
    <t>RAMESH</t>
  </si>
  <si>
    <t>RAKESH</t>
  </si>
  <si>
    <t>RAHUL</t>
  </si>
  <si>
    <t>POOJA</t>
  </si>
  <si>
    <t>MANOJ</t>
  </si>
  <si>
    <t>ASHOK</t>
  </si>
  <si>
    <t>AJEET</t>
  </si>
  <si>
    <t>ALOK</t>
  </si>
  <si>
    <t>AMRIT</t>
  </si>
  <si>
    <t>SURENDRA</t>
  </si>
  <si>
    <t>SHASHI</t>
  </si>
  <si>
    <t>JAN</t>
  </si>
  <si>
    <t>FEB</t>
  </si>
  <si>
    <t>APR</t>
  </si>
  <si>
    <t>MAY</t>
  </si>
  <si>
    <t>JUNE</t>
  </si>
  <si>
    <t>SALES</t>
  </si>
  <si>
    <t>TARGET</t>
  </si>
  <si>
    <t>RESULT</t>
  </si>
  <si>
    <t>Q1. HOW MANY SALESMAN? SALESMAN AJEET TARGET &amp; RESULTS</t>
  </si>
  <si>
    <t>Q2. IF SALES GREATER THAN TARGET THEN TARGET ACHIEVED OTHERWISE NOT.</t>
  </si>
  <si>
    <t>Q3. RAHUL POOJA &amp; ASHOK TARGETS AND RESULTS?</t>
  </si>
  <si>
    <t>Q4. HOW MANY SALESMAN ACHIEVED TARGET.</t>
  </si>
  <si>
    <t>Q5. WHICH SALES MAN JAN SALES 2000 &amp; FEB SALES IS 2500?</t>
  </si>
  <si>
    <t>NOT ACHIEVED</t>
  </si>
  <si>
    <t>MAR</t>
  </si>
  <si>
    <t xml:space="preserve">Q1. ANSWER TOTALSALESMAN </t>
  </si>
  <si>
    <t>RESULTS</t>
  </si>
  <si>
    <t>Q3. RAHUL POOJA &amp; ASHOK</t>
  </si>
  <si>
    <t>Q4.</t>
  </si>
  <si>
    <t>TARGET ACHIEVED</t>
  </si>
  <si>
    <t xml:space="preserve">Q5. </t>
  </si>
  <si>
    <t>SALESMAN JAN</t>
  </si>
  <si>
    <t>SALESMAN FEB</t>
  </si>
  <si>
    <t>DATE</t>
  </si>
  <si>
    <t>COST</t>
  </si>
  <si>
    <t>BRAKES</t>
  </si>
  <si>
    <t>TYRES</t>
  </si>
  <si>
    <t>SERVICE</t>
  </si>
  <si>
    <t>WINDOW</t>
  </si>
  <si>
    <t>CLUTCH</t>
  </si>
  <si>
    <t>ASSIGNMENT-6</t>
  </si>
  <si>
    <t>USE OF FORMULAS:- COUNTA, COUNTIF, SUMIF, HLOOKUP, CONDITIONAL FORMATTING</t>
  </si>
  <si>
    <t>Q1. HOW MANY ITEMS?</t>
  </si>
  <si>
    <t>Q2. HOW MANY BRAKE, WINDOW &amp; TYRES HAVE BEEN BOUGHT?</t>
  </si>
  <si>
    <t>BRAKE</t>
  </si>
  <si>
    <t>Q3. HOW MANY ITEMS COST IS &gt;1000&amp; BELOW&gt;=1500?</t>
  </si>
  <si>
    <t>COST GREATER THAN 1000</t>
  </si>
  <si>
    <t>COST BELOW OR EQUAL TO 1500</t>
  </si>
  <si>
    <t>Q4. HIGHLIGHT TYRES ITEMS &amp; 1500 BETWEEN 2000 COST.</t>
  </si>
  <si>
    <t>Q6.</t>
  </si>
  <si>
    <t>TOTAL COST</t>
  </si>
  <si>
    <t>Q5. ITEMS COLUMN IS 15,18 &amp;20</t>
  </si>
  <si>
    <t>use formula of:- Counta, countif, sumif, datedif</t>
  </si>
  <si>
    <t>Assignment</t>
  </si>
  <si>
    <t>YEAR</t>
  </si>
  <si>
    <t>MONTH</t>
  </si>
  <si>
    <t>DAY</t>
  </si>
  <si>
    <t>DATE OF BIRTH</t>
  </si>
  <si>
    <t xml:space="preserve">Q1. How many students? </t>
  </si>
  <si>
    <t>Q2. Student Surendra is how many years old?</t>
  </si>
  <si>
    <t>Q3. HOW MANY STUDENTS ARE GREATER THAN 20?</t>
  </si>
  <si>
    <t>STATUS</t>
  </si>
  <si>
    <t>Q4. IF STUDENT AGE IS GREATER THAN 20 THEN STUDENT IS ADULT/CHILD</t>
  </si>
  <si>
    <t>Q5. HOW MANY STUDENTS AGE IS &gt;=25 YEARS</t>
  </si>
  <si>
    <t>Assignment-8</t>
  </si>
  <si>
    <t>Use of formulas:- Sum, Average, Counta, countif,sumif &amp; if</t>
  </si>
  <si>
    <t>STUDENT NAME</t>
  </si>
  <si>
    <t>MATHS</t>
  </si>
  <si>
    <t>SUBJECT</t>
  </si>
  <si>
    <t>TOTAL</t>
  </si>
  <si>
    <t>PERCENTAGE</t>
  </si>
  <si>
    <t>ALAN</t>
  </si>
  <si>
    <t>BOB</t>
  </si>
  <si>
    <t>CAROL</t>
  </si>
  <si>
    <t>DAVID</t>
  </si>
  <si>
    <t>ERIC</t>
  </si>
  <si>
    <t>FRED</t>
  </si>
  <si>
    <t>GAIL</t>
  </si>
  <si>
    <t>HARRY</t>
  </si>
  <si>
    <t>IAN</t>
  </si>
  <si>
    <t>JANICE</t>
  </si>
  <si>
    <t>ABSENT</t>
  </si>
  <si>
    <t>Q1. HOW MANY STUDENTS?</t>
  </si>
  <si>
    <t>Q2. HOW MANY STUDENTS GOT PERCENTAGE GREATER THAN &gt;50</t>
  </si>
  <si>
    <t>Q3. BOB AND ERIC TOAL NUMBER?</t>
  </si>
  <si>
    <t>Q4. IF PERCENTAGE GREATER THAN &gt;70 "EXCELLENT". IF PERCENTAGE GREATER THAN &gt;50."GOOD",OTHERWISE "BAD".</t>
  </si>
  <si>
    <t>Q5. HOW MANY STUDENT GOT GOOD AND BAD IN A LIST?</t>
  </si>
  <si>
    <t>GOOD</t>
  </si>
  <si>
    <t>BAD</t>
  </si>
  <si>
    <t>ASSIGNMENT NO:-9 VLOOKUP FUNCTION</t>
  </si>
  <si>
    <t>EMPLOYEE ID</t>
  </si>
  <si>
    <t>LAST NAME</t>
  </si>
  <si>
    <t>FIRST NAME</t>
  </si>
  <si>
    <t>PAY</t>
  </si>
  <si>
    <t>FIRST N.</t>
  </si>
  <si>
    <t>LAST N.</t>
  </si>
  <si>
    <t>DOE</t>
  </si>
  <si>
    <t>CLINE</t>
  </si>
  <si>
    <t>SMITH</t>
  </si>
  <si>
    <t>PAN</t>
  </si>
  <si>
    <t>FAVRE</t>
  </si>
  <si>
    <t>ELWAY</t>
  </si>
  <si>
    <t>MANNING</t>
  </si>
  <si>
    <t>VICK</t>
  </si>
  <si>
    <t>WOODS</t>
  </si>
  <si>
    <t>JORDAN</t>
  </si>
  <si>
    <t>STARK</t>
  </si>
  <si>
    <t>WILLIAMS</t>
  </si>
  <si>
    <t>JOHN</t>
  </si>
  <si>
    <t>PETER</t>
  </si>
  <si>
    <t>BRET</t>
  </si>
  <si>
    <t>ELI</t>
  </si>
  <si>
    <t>MICHAEL</t>
  </si>
  <si>
    <t>TIGER</t>
  </si>
  <si>
    <t>TONY</t>
  </si>
  <si>
    <t>PRINCE</t>
  </si>
  <si>
    <t>1,37,670</t>
  </si>
  <si>
    <t>1,90,024</t>
  </si>
  <si>
    <t>1,22,604</t>
  </si>
  <si>
    <t>1,11,709</t>
  </si>
  <si>
    <t>1,68,114</t>
  </si>
  <si>
    <t>1,49,946</t>
  </si>
  <si>
    <t>1,45,893</t>
  </si>
  <si>
    <t>ASSIGNMENT NO:- 10</t>
  </si>
  <si>
    <t>EMPLOYEE ID:-</t>
  </si>
  <si>
    <t>FULL NAME</t>
  </si>
  <si>
    <t>SSN</t>
  </si>
  <si>
    <t>START DATE</t>
  </si>
  <si>
    <t>EARNINGS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</si>
  <si>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</si>
  <si>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</si>
  <si>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</si>
  <si>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</si>
  <si>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</si>
  <si>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</si>
  <si>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</si>
  <si>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</si>
  <si>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</si>
  <si>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</si>
  <si>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</si>
  <si>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</si>
  <si>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</si>
  <si>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</si>
  <si>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FAITH K. MACIAS</t>
  </si>
  <si>
    <t>LUCIAN Q. FRANKLIN</t>
  </si>
  <si>
    <t xml:space="preserve"> BLAZE V. BRIDGES</t>
  </si>
  <si>
    <t>DENTON Q. DALE</t>
  </si>
  <si>
    <t>BLOSSOM K. FOX</t>
  </si>
  <si>
    <t>KERRY V. DAVID</t>
  </si>
  <si>
    <t>MELANIE X. BAKER</t>
  </si>
  <si>
    <t>ADELE M. FULTON</t>
  </si>
  <si>
    <t>JUSTINA O. JENSEN</t>
  </si>
  <si>
    <t>YOSHI J. ENGLAND</t>
  </si>
  <si>
    <t>BROOKE Y. MCCLARTY</t>
  </si>
  <si>
    <t>KAY G. COLON</t>
  </si>
  <si>
    <t>CALLIE I. FORBES</t>
  </si>
  <si>
    <t>ZACHERY O. MANN</t>
  </si>
  <si>
    <t>845-04-3962</t>
  </si>
  <si>
    <t>345-28-4935</t>
  </si>
  <si>
    <t>503-53-8350</t>
  </si>
  <si>
    <t>858-39-7967</t>
  </si>
  <si>
    <t>245-18-5890</t>
  </si>
  <si>
    <t>873-45-8675</t>
  </si>
  <si>
    <t>190-08-3679</t>
  </si>
  <si>
    <t>352-36-9553</t>
  </si>
  <si>
    <t>645-74-0451</t>
  </si>
  <si>
    <t>558-53-1475</t>
  </si>
  <si>
    <t>129-42-6148</t>
  </si>
  <si>
    <t>796-50-4767</t>
  </si>
  <si>
    <t>266-48-1339</t>
  </si>
  <si>
    <t>663-00-3285</t>
  </si>
  <si>
    <t>MARKETING</t>
  </si>
  <si>
    <t>IT</t>
  </si>
  <si>
    <t>ENGINEERING</t>
  </si>
  <si>
    <t>HUMAN RESOURCE</t>
  </si>
  <si>
    <t>1,04,000</t>
  </si>
  <si>
    <t>1,36,000</t>
  </si>
  <si>
    <t xml:space="preserve">Q1. HOW MANY EMPLOYEES IN THE LIST? </t>
  </si>
  <si>
    <t>Q2. HOW MANY EMPLOYEES ARE WORKING INTO FINANCE AND MARKETING DEPARTMENT?</t>
  </si>
  <si>
    <t>Q3. EMPLOYEE BOLSSOM K. FOX DEPARTMENT AND EARNING?</t>
  </si>
  <si>
    <t>EARNING</t>
  </si>
  <si>
    <t>Q5. EMPLOYEE FOX SSN NO:-</t>
  </si>
  <si>
    <t xml:space="preserve">Q6. HOW MUCH MARKETING DEPARTMENT CAN EARN? </t>
  </si>
  <si>
    <t>Sales</t>
  </si>
  <si>
    <t>Q.1 How Many Fruits?</t>
  </si>
  <si>
    <t>Product Name</t>
  </si>
  <si>
    <t>Jan</t>
  </si>
  <si>
    <t>Feb</t>
  </si>
  <si>
    <t>Mar</t>
  </si>
  <si>
    <t>Apr</t>
  </si>
  <si>
    <t>May</t>
  </si>
  <si>
    <t>Jun</t>
  </si>
  <si>
    <t>Jul</t>
  </si>
  <si>
    <t>Aug</t>
  </si>
  <si>
    <t>Apples</t>
  </si>
  <si>
    <t>$1,27,136</t>
  </si>
  <si>
    <t>Grapefruit</t>
  </si>
  <si>
    <t>Lemons</t>
  </si>
  <si>
    <t>Lime</t>
  </si>
  <si>
    <t>Oranges</t>
  </si>
  <si>
    <t>Peaches</t>
  </si>
  <si>
    <t>Pears</t>
  </si>
  <si>
    <t>Pineapples</t>
  </si>
  <si>
    <t>Assignment-12</t>
  </si>
  <si>
    <t>Use of formulas:- Count A, Vlookup</t>
  </si>
  <si>
    <t xml:space="preserve">Q2. Fruit sales of lemons and pineapples in march and july ? </t>
  </si>
  <si>
    <t>March</t>
  </si>
  <si>
    <t>July</t>
  </si>
  <si>
    <t>Assignment 11</t>
  </si>
  <si>
    <t>CLASSIC FAVORITES</t>
  </si>
  <si>
    <t>TALL</t>
  </si>
  <si>
    <t>GRANDE</t>
  </si>
  <si>
    <t>VENTI</t>
  </si>
  <si>
    <t>Caffe Latte</t>
  </si>
  <si>
    <t>Cappuccino</t>
  </si>
  <si>
    <t>Excellent Computer Education(A Professional Training Center)</t>
  </si>
  <si>
    <t>Caramel Macchiato</t>
  </si>
  <si>
    <t>Caffe Mocha</t>
  </si>
  <si>
    <t>White Chocolate Mocha</t>
  </si>
  <si>
    <t>Caffe Americano</t>
  </si>
  <si>
    <t>Cinnamon Dolce Latte</t>
  </si>
  <si>
    <t>Steamer</t>
  </si>
  <si>
    <t>Drip Coffee</t>
  </si>
  <si>
    <t>Question: What is the column number for the size Grande,Tall, Venti?</t>
  </si>
  <si>
    <t>Use of Match Formula</t>
  </si>
  <si>
    <t>Grande</t>
  </si>
  <si>
    <t>Use of Match Function</t>
  </si>
  <si>
    <t>Question: What is the price of a Caffe Mocha, size Grande,Tall, Venti?</t>
  </si>
  <si>
    <t>Use of Vlookup with Match Formula</t>
  </si>
  <si>
    <t>Use of formulas:-</t>
  </si>
  <si>
    <t>Match and vlookup with match</t>
  </si>
  <si>
    <t>C.F</t>
  </si>
  <si>
    <t>Name</t>
  </si>
  <si>
    <t>Gender</t>
  </si>
  <si>
    <t>Country</t>
  </si>
  <si>
    <t>Score</t>
  </si>
  <si>
    <t>Richard</t>
  </si>
  <si>
    <t>Male</t>
  </si>
  <si>
    <t>United States</t>
  </si>
  <si>
    <t>Jennifer</t>
  </si>
  <si>
    <t>Female</t>
  </si>
  <si>
    <t>United Kingdom</t>
  </si>
  <si>
    <t>James</t>
  </si>
  <si>
    <t>Lisa</t>
  </si>
  <si>
    <t>Canada</t>
  </si>
  <si>
    <t>Sharon</t>
  </si>
  <si>
    <t>Australia</t>
  </si>
  <si>
    <t>Elizabeth</t>
  </si>
  <si>
    <t>Carol</t>
  </si>
  <si>
    <t>Mark</t>
  </si>
  <si>
    <t>John</t>
  </si>
  <si>
    <t>Susan</t>
  </si>
  <si>
    <t>David</t>
  </si>
  <si>
    <t>Use of Formula</t>
  </si>
  <si>
    <t>Q.1 How Many Male and Female Candidate in a List?</t>
  </si>
  <si>
    <t>Countif</t>
  </si>
  <si>
    <t>Q.2 How Many Male Employee in United States?</t>
  </si>
  <si>
    <t>Q.3 Lisa and John Which Country Belong?</t>
  </si>
  <si>
    <t>Use of Vlookup</t>
  </si>
  <si>
    <t>Q.4 United States Male and Female Candidate Scores?</t>
  </si>
  <si>
    <t>Season</t>
  </si>
  <si>
    <t>Year</t>
  </si>
  <si>
    <t>Type</t>
  </si>
  <si>
    <t>State</t>
  </si>
  <si>
    <t>Sales $</t>
  </si>
  <si>
    <t>Fall</t>
  </si>
  <si>
    <t>Amber Ale</t>
  </si>
  <si>
    <t>California</t>
  </si>
  <si>
    <t>$5,54,536</t>
  </si>
  <si>
    <t>Hefeweizen</t>
  </si>
  <si>
    <t>$5,40,643</t>
  </si>
  <si>
    <t>Pale Ale</t>
  </si>
  <si>
    <t>$5,77,548</t>
  </si>
  <si>
    <t>Pilsner</t>
  </si>
  <si>
    <t>$4,55,905</t>
  </si>
  <si>
    <t>Porter</t>
  </si>
  <si>
    <t>$4,90,871</t>
  </si>
  <si>
    <t>Stout</t>
  </si>
  <si>
    <t>$4,46,383</t>
  </si>
  <si>
    <t>Oregon</t>
  </si>
  <si>
    <t>$4,57,726</t>
  </si>
  <si>
    <t>$3,47,696</t>
  </si>
  <si>
    <t>$3,84,541</t>
  </si>
  <si>
    <t>$3,86,420</t>
  </si>
  <si>
    <t>$3,70,970</t>
  </si>
  <si>
    <t>$4,30,754</t>
  </si>
  <si>
    <t>Washington</t>
  </si>
  <si>
    <t>$5,00,847</t>
  </si>
  <si>
    <t>$5,07,070</t>
  </si>
  <si>
    <t>$4,82,346</t>
  </si>
  <si>
    <t>$6,08,713</t>
  </si>
  <si>
    <t>$1,50,000</t>
  </si>
  <si>
    <t>$5,00,649</t>
  </si>
  <si>
    <t>Spring</t>
  </si>
  <si>
    <t>$3,31,289</t>
  </si>
  <si>
    <t>$3,84,572</t>
  </si>
  <si>
    <t>$3,65,813</t>
  </si>
  <si>
    <t>$3,96,338</t>
  </si>
  <si>
    <t>$4,53,761</t>
  </si>
  <si>
    <t>$3,56,538</t>
  </si>
  <si>
    <t>Using Formula</t>
  </si>
  <si>
    <t>Q.1 How Many Spring and Fall Season?</t>
  </si>
  <si>
    <t>Q.2 How Many Fall Season in California and Washington?</t>
  </si>
  <si>
    <t>Q.4 How Many Spring Season in Washington only?</t>
  </si>
  <si>
    <t>Q.5 Create Pivot Table Using Data?</t>
  </si>
  <si>
    <t>Asssignment- 14</t>
  </si>
  <si>
    <t>countifs</t>
  </si>
  <si>
    <t>Q.5 How Many Male Candidate Belong Country United State Total Score?</t>
  </si>
  <si>
    <t>ID</t>
  </si>
  <si>
    <t>Brand</t>
  </si>
  <si>
    <t>Product</t>
  </si>
  <si>
    <t>Dell</t>
  </si>
  <si>
    <t>Logitech</t>
  </si>
  <si>
    <t>Keyboard</t>
  </si>
  <si>
    <t>Mouse</t>
  </si>
  <si>
    <t>HP</t>
  </si>
  <si>
    <t>Printer</t>
  </si>
  <si>
    <t>Assignment - 17</t>
  </si>
  <si>
    <t>Use of formula:- Vlookup</t>
  </si>
  <si>
    <t>Assignment-18</t>
  </si>
  <si>
    <t>Use of formula:- Hlookup</t>
  </si>
  <si>
    <t>Assignment -19</t>
  </si>
  <si>
    <t>Use of Formulas - Index with Match</t>
  </si>
  <si>
    <t>Region</t>
  </si>
  <si>
    <t>North</t>
  </si>
  <si>
    <t>South</t>
  </si>
  <si>
    <t>East</t>
  </si>
  <si>
    <t>West</t>
  </si>
  <si>
    <t>INDEX(A4:D8,MATCH(A10,A4:A8,0),MATCH(B10,A4:D4,0))</t>
  </si>
  <si>
    <t>Assignment -21</t>
  </si>
  <si>
    <t>Use of Formulas - Index + Match</t>
  </si>
  <si>
    <t>Emp Name</t>
  </si>
  <si>
    <t>Salary</t>
  </si>
  <si>
    <t>Department</t>
  </si>
  <si>
    <t>Emp ID</t>
  </si>
  <si>
    <t>Raju</t>
  </si>
  <si>
    <t>Prd001</t>
  </si>
  <si>
    <t>Ramesh</t>
  </si>
  <si>
    <t>Operations</t>
  </si>
  <si>
    <t>Prd002</t>
  </si>
  <si>
    <t>Ramila</t>
  </si>
  <si>
    <t>Marketing</t>
  </si>
  <si>
    <t>Prd003</t>
  </si>
  <si>
    <t>Rajeshwari</t>
  </si>
  <si>
    <t>HR</t>
  </si>
  <si>
    <t>Prd004</t>
  </si>
  <si>
    <t>Karan</t>
  </si>
  <si>
    <t>Prd005</t>
  </si>
  <si>
    <t>Rohith</t>
  </si>
  <si>
    <t>Prd006</t>
  </si>
  <si>
    <t>Jacob</t>
  </si>
  <si>
    <t>Prd007</t>
  </si>
  <si>
    <t>Fleming</t>
  </si>
  <si>
    <t>Prd008</t>
  </si>
  <si>
    <t>Navya</t>
  </si>
  <si>
    <t>Prd009</t>
  </si>
  <si>
    <t>Kavya</t>
  </si>
  <si>
    <t>Prd010</t>
  </si>
  <si>
    <t>Santosh</t>
  </si>
  <si>
    <t>Prd011</t>
  </si>
  <si>
    <t>Shankar</t>
  </si>
  <si>
    <t>Prd012</t>
  </si>
  <si>
    <t>Prd013</t>
  </si>
  <si>
    <t>Prd014</t>
  </si>
  <si>
    <t>Hemaraj</t>
  </si>
  <si>
    <t>Prd015</t>
  </si>
  <si>
    <t>Nagaraj</t>
  </si>
  <si>
    <t>Prd016</t>
  </si>
  <si>
    <t>Johson</t>
  </si>
  <si>
    <t>Prd017</t>
  </si>
  <si>
    <t>Prd018</t>
  </si>
  <si>
    <t>Anderson</t>
  </si>
  <si>
    <t>Prd019</t>
  </si>
  <si>
    <t>Peter</t>
  </si>
  <si>
    <t>Prd020</t>
  </si>
  <si>
    <t>Assignment -22</t>
  </si>
  <si>
    <t>Use of Formulas - Lookup</t>
  </si>
  <si>
    <t>Q.2 Employee Santosh Salary?</t>
  </si>
  <si>
    <t>Use of Sumif</t>
  </si>
  <si>
    <t>Q.3 IT &amp; Marketing Department Total Salary?</t>
  </si>
  <si>
    <t xml:space="preserve">               Use of Countif</t>
  </si>
  <si>
    <t xml:space="preserve">Q.1 How Many Employee in Work HR, IT, Marketing Department ? </t>
  </si>
  <si>
    <t>Assignment -23</t>
  </si>
  <si>
    <t>Use of Formulas - AND</t>
  </si>
  <si>
    <t>BIOLOGY</t>
  </si>
  <si>
    <t>PASSED THE EXAM ?</t>
  </si>
  <si>
    <t>NITIN</t>
  </si>
  <si>
    <t>PASS</t>
  </si>
  <si>
    <t>FAIL</t>
  </si>
  <si>
    <t>FEROZ</t>
  </si>
  <si>
    <t>ANITHA</t>
  </si>
  <si>
    <t>MADAN</t>
  </si>
  <si>
    <t>SUMITH</t>
  </si>
  <si>
    <t>HARSH</t>
  </si>
  <si>
    <t>TRIVEDI</t>
  </si>
  <si>
    <t>ASHISH</t>
  </si>
  <si>
    <t>IN THIS EXAMPLE, IF STUDENT PASSES ALL THE SUBJECT, THEN HE HAS PASSED THE EXAM</t>
  </si>
  <si>
    <t>Assignment -24</t>
  </si>
  <si>
    <t>Use of Formulas - Averageif</t>
  </si>
  <si>
    <t>Units sold</t>
  </si>
  <si>
    <t>Student</t>
  </si>
  <si>
    <t>Semester</t>
  </si>
  <si>
    <t>A</t>
  </si>
  <si>
    <t>second</t>
  </si>
  <si>
    <t>D</t>
  </si>
  <si>
    <t>gary</t>
  </si>
  <si>
    <t>Third</t>
  </si>
  <si>
    <t>E</t>
  </si>
  <si>
    <t>Richa</t>
  </si>
  <si>
    <t>B</t>
  </si>
  <si>
    <t>Hari</t>
  </si>
  <si>
    <t>C</t>
  </si>
  <si>
    <t>Tom</t>
  </si>
  <si>
    <t>Will</t>
  </si>
  <si>
    <t>F</t>
  </si>
  <si>
    <t>Average semester score</t>
  </si>
  <si>
    <t>Second</t>
  </si>
  <si>
    <t>Average of B</t>
  </si>
  <si>
    <t>Average of D</t>
  </si>
  <si>
    <t>Zone</t>
  </si>
  <si>
    <t>City</t>
  </si>
  <si>
    <t>Chennai</t>
  </si>
  <si>
    <t>Patna</t>
  </si>
  <si>
    <t>Delhi</t>
  </si>
  <si>
    <t>Kanpur</t>
  </si>
  <si>
    <t>Gandhinagar</t>
  </si>
  <si>
    <t>Hubli</t>
  </si>
  <si>
    <t>Manglore</t>
  </si>
  <si>
    <t>Chandigarh</t>
  </si>
  <si>
    <t>Pune</t>
  </si>
  <si>
    <t>south</t>
  </si>
  <si>
    <t>Hyderabad</t>
  </si>
  <si>
    <t>Meerut</t>
  </si>
  <si>
    <t>Nagpur</t>
  </si>
  <si>
    <t>Average of West zone</t>
  </si>
  <si>
    <t>Avg of Units Sold above 250</t>
  </si>
  <si>
    <t>Avg of Units Sold below 100</t>
  </si>
  <si>
    <t>Assignment -26</t>
  </si>
  <si>
    <t>Use of If and Vlookup -Compare List 1 to List 2</t>
  </si>
  <si>
    <t>List 1</t>
  </si>
  <si>
    <t>List 2</t>
  </si>
  <si>
    <t>Result</t>
  </si>
  <si>
    <t>Raj</t>
  </si>
  <si>
    <t>Ankita</t>
  </si>
  <si>
    <t>Rohit</t>
  </si>
  <si>
    <t>Value not in List 1</t>
  </si>
  <si>
    <t>Kajal</t>
  </si>
  <si>
    <t>Abhay</t>
  </si>
  <si>
    <t>Rohan</t>
  </si>
  <si>
    <t>Akshay</t>
  </si>
  <si>
    <t>Puneet</t>
  </si>
  <si>
    <t>IF(A9=B9,"Matching","Not Matching")</t>
  </si>
  <si>
    <t>VLOOKUP(F12,E5:E12,1,0)</t>
  </si>
  <si>
    <t>Color List-1</t>
  </si>
  <si>
    <t>Color List-2</t>
  </si>
  <si>
    <t>Red</t>
  </si>
  <si>
    <t>Yellow</t>
  </si>
  <si>
    <t>Green</t>
  </si>
  <si>
    <t>Grey</t>
  </si>
  <si>
    <t>Blue</t>
  </si>
  <si>
    <t>Orange</t>
  </si>
  <si>
    <t>White</t>
  </si>
  <si>
    <t>Black</t>
  </si>
  <si>
    <t>VLOOKUP(A17,E17:E22,1,FALSE)</t>
  </si>
  <si>
    <t>Assignment -27</t>
  </si>
  <si>
    <t>Use of Concatenate</t>
  </si>
  <si>
    <t>First Name</t>
  </si>
  <si>
    <t>Last Name</t>
  </si>
  <si>
    <t>Full Name</t>
  </si>
  <si>
    <t>D21</t>
  </si>
  <si>
    <t>Vishal</t>
  </si>
  <si>
    <t>Mohan</t>
  </si>
  <si>
    <t>D22</t>
  </si>
  <si>
    <t>Mathew</t>
  </si>
  <si>
    <t>D23</t>
  </si>
  <si>
    <t>Jamemah</t>
  </si>
  <si>
    <t>Powel</t>
  </si>
  <si>
    <t>D24</t>
  </si>
  <si>
    <t>Arundhati</t>
  </si>
  <si>
    <t>Swaminathan</t>
  </si>
  <si>
    <t>D25</t>
  </si>
  <si>
    <t>Potter</t>
  </si>
  <si>
    <t>D26</t>
  </si>
  <si>
    <t>Roger</t>
  </si>
  <si>
    <t>Williams</t>
  </si>
  <si>
    <t>=</t>
  </si>
  <si>
    <t>CONCATENATE(B5," ",C5)</t>
  </si>
  <si>
    <t>B16&amp;" "&amp;C16</t>
  </si>
  <si>
    <t>Assignment -28</t>
  </si>
  <si>
    <t>Use of Counta, Countif, Countifs, Vlookup and Index with Match</t>
  </si>
  <si>
    <t>Employee Database</t>
  </si>
  <si>
    <t>Date</t>
  </si>
  <si>
    <t>Emp Id</t>
  </si>
  <si>
    <t>Designation</t>
  </si>
  <si>
    <t>KRA</t>
  </si>
  <si>
    <t>ARUN</t>
  </si>
  <si>
    <t>MIS-OPERATION</t>
  </si>
  <si>
    <t>OPERATION</t>
  </si>
  <si>
    <t>PHP</t>
  </si>
  <si>
    <t>BISWAS</t>
  </si>
  <si>
    <t>SOFTWARE ENG</t>
  </si>
  <si>
    <t>JAVA</t>
  </si>
  <si>
    <t>DINESH</t>
  </si>
  <si>
    <t>SME</t>
  </si>
  <si>
    <t>MAILS</t>
  </si>
  <si>
    <t>ESHWAR</t>
  </si>
  <si>
    <t>PROGRAMMER</t>
  </si>
  <si>
    <t>C++</t>
  </si>
  <si>
    <t>FAHAD</t>
  </si>
  <si>
    <t>DOT NET</t>
  </si>
  <si>
    <t>GANGA</t>
  </si>
  <si>
    <t>SOFTWARE ASSOCIATE</t>
  </si>
  <si>
    <t>TESTING</t>
  </si>
  <si>
    <t>HEMA</t>
  </si>
  <si>
    <t>NETWORK ENG</t>
  </si>
  <si>
    <t>SERVER</t>
  </si>
  <si>
    <t>FARZANA</t>
  </si>
  <si>
    <t>SALES EXECUTIVE</t>
  </si>
  <si>
    <t>AYESH</t>
  </si>
  <si>
    <t>AMAZON</t>
  </si>
  <si>
    <t>PRAVEEN</t>
  </si>
  <si>
    <t>VISHAL</t>
  </si>
  <si>
    <t>GROFFERS</t>
  </si>
  <si>
    <t>VISHNU</t>
  </si>
  <si>
    <t>PAYTM</t>
  </si>
  <si>
    <t>KRISHNA</t>
  </si>
  <si>
    <t>ABHISHEK</t>
  </si>
  <si>
    <t>MYNTRA</t>
  </si>
  <si>
    <t>FARZANA BANU</t>
  </si>
  <si>
    <t>VAMSEE KRISHNA</t>
  </si>
  <si>
    <t>BRAND MANAGER</t>
  </si>
  <si>
    <t>Q.1 How Many Employee?</t>
  </si>
  <si>
    <t>Use of Counta</t>
  </si>
  <si>
    <t>Ans</t>
  </si>
  <si>
    <t>Q.2 How Many Employee in Sales Executive?</t>
  </si>
  <si>
    <t>Use of Countif</t>
  </si>
  <si>
    <t>Q.3 How Many Employee Sales Executive in Amazone and Myntra?</t>
  </si>
  <si>
    <t>Use of Countifs</t>
  </si>
  <si>
    <t>Q.4 Employee Dinesh and Vishal Post and KRA?</t>
  </si>
  <si>
    <t>Q.5 Employee Abhishek and Hema Emp id?</t>
  </si>
  <si>
    <t>Use of Index with Match</t>
  </si>
  <si>
    <t>use of VLOOKUP</t>
  </si>
  <si>
    <t>Assignment -29</t>
  </si>
  <si>
    <t>Use of Vlookup One Sheet to Another Sheet</t>
  </si>
  <si>
    <t>Sheet 1- Data</t>
  </si>
  <si>
    <t>Location</t>
  </si>
  <si>
    <t>Donald</t>
  </si>
  <si>
    <t>Patrick</t>
  </si>
  <si>
    <t>Banglore</t>
  </si>
  <si>
    <t>Samuel</t>
  </si>
  <si>
    <t>Samson</t>
  </si>
  <si>
    <t>Ian</t>
  </si>
  <si>
    <t>Johnson</t>
  </si>
  <si>
    <t>Smith</t>
  </si>
  <si>
    <t>Henry</t>
  </si>
  <si>
    <t>Madrid</t>
  </si>
  <si>
    <t>Ronica</t>
  </si>
  <si>
    <t>Brave</t>
  </si>
  <si>
    <t>Christine</t>
  </si>
  <si>
    <t>Salvi</t>
  </si>
  <si>
    <t>Andrew</t>
  </si>
  <si>
    <t>Baisley</t>
  </si>
  <si>
    <t>Erica</t>
  </si>
  <si>
    <t>Irons</t>
  </si>
  <si>
    <t>Answer Sheet</t>
  </si>
  <si>
    <t>Sheet 2- Use of Vlookup</t>
  </si>
  <si>
    <t>Assignment -31</t>
  </si>
  <si>
    <t>USE OF HLOOKUP</t>
  </si>
  <si>
    <t>Months</t>
  </si>
  <si>
    <t>January</t>
  </si>
  <si>
    <t>February</t>
  </si>
  <si>
    <t>April</t>
  </si>
  <si>
    <t>June</t>
  </si>
  <si>
    <t>Sale</t>
  </si>
  <si>
    <t>Mat</t>
  </si>
  <si>
    <t>Jim</t>
  </si>
  <si>
    <t>Cole</t>
  </si>
  <si>
    <t>Ricky</t>
  </si>
  <si>
    <t>Mary</t>
  </si>
  <si>
    <t>Science</t>
  </si>
  <si>
    <t>Maths</t>
  </si>
  <si>
    <t>Marks in English</t>
  </si>
  <si>
    <t>Marks in Maths</t>
  </si>
  <si>
    <t>EMP</t>
  </si>
  <si>
    <t>FIS6067</t>
  </si>
  <si>
    <t>FIS5228</t>
  </si>
  <si>
    <t>FIS6799</t>
  </si>
  <si>
    <t>FIS1149</t>
  </si>
  <si>
    <t>FIS5834</t>
  </si>
  <si>
    <t>SALES1</t>
  </si>
  <si>
    <t>SALES2</t>
  </si>
  <si>
    <t>SALES3</t>
  </si>
  <si>
    <t>SALES4</t>
  </si>
  <si>
    <t>SALES5</t>
  </si>
  <si>
    <t>Sales 4</t>
  </si>
  <si>
    <t>Temperarture (In Celsius)</t>
  </si>
  <si>
    <t>Cities</t>
  </si>
  <si>
    <t>New Delhi</t>
  </si>
  <si>
    <t>Mumbai</t>
  </si>
  <si>
    <t>Bangalore</t>
  </si>
  <si>
    <t>Temperature</t>
  </si>
  <si>
    <t>Employee</t>
  </si>
  <si>
    <t>Albert</t>
  </si>
  <si>
    <t>Aaron</t>
  </si>
  <si>
    <t>Albama</t>
  </si>
  <si>
    <t>Abeey</t>
  </si>
  <si>
    <t>Cathy</t>
  </si>
  <si>
    <t>Assignment -32</t>
  </si>
  <si>
    <t>USE OF NESTEDIF</t>
  </si>
  <si>
    <t>Total Numbers Earned</t>
  </si>
  <si>
    <t>Grade earned</t>
  </si>
  <si>
    <t>Condition List</t>
  </si>
  <si>
    <t>John Wilkins</t>
  </si>
  <si>
    <t>A+</t>
  </si>
  <si>
    <t>90-100</t>
  </si>
  <si>
    <t>Steve Harrington</t>
  </si>
  <si>
    <t>85 - &lt; 90</t>
  </si>
  <si>
    <t>Edward Clark</t>
  </si>
  <si>
    <t>80 - &lt; 85</t>
  </si>
  <si>
    <t>B+</t>
  </si>
  <si>
    <t>Jimmy Chemberlin</t>
  </si>
  <si>
    <t>75 - &lt; 80</t>
  </si>
  <si>
    <t> B</t>
  </si>
  <si>
    <t>Alex Wilkins</t>
  </si>
  <si>
    <t>70 - &lt; 75</t>
  </si>
  <si>
    <t>C+</t>
  </si>
  <si>
    <t>Patty Scott</t>
  </si>
  <si>
    <t>65 - &lt; 70</t>
  </si>
  <si>
    <t>Andrew Williams</t>
  </si>
  <si>
    <t>60 - &lt; 65</t>
  </si>
  <si>
    <t>D+</t>
  </si>
  <si>
    <t>Emilia johnson</t>
  </si>
  <si>
    <t>50 - &lt; 60</t>
  </si>
  <si>
    <t>Anthony Rogers</t>
  </si>
  <si>
    <t>&lt; 50</t>
  </si>
  <si>
    <t>Sl #</t>
  </si>
  <si>
    <t>Month</t>
  </si>
  <si>
    <t>Month Number</t>
  </si>
  <si>
    <t>August</t>
  </si>
  <si>
    <t>September</t>
  </si>
  <si>
    <t>October</t>
  </si>
  <si>
    <t>November</t>
  </si>
  <si>
    <t>December</t>
  </si>
  <si>
    <t>VLOOKUP(H2,$A$2:$C$13,3,0)</t>
  </si>
  <si>
    <t>Assignment -33</t>
  </si>
  <si>
    <t>Merge Table 1,2 &amp; 3 Using Vlookup</t>
  </si>
  <si>
    <t>Table 1</t>
  </si>
  <si>
    <t>Table 2</t>
  </si>
  <si>
    <t>Table 3</t>
  </si>
  <si>
    <t>Dept</t>
  </si>
  <si>
    <t>Assignment -34</t>
  </si>
  <si>
    <t>Owner</t>
  </si>
  <si>
    <t>Product Class</t>
  </si>
  <si>
    <t>Quantity Sold</t>
  </si>
  <si>
    <t>Ben</t>
  </si>
  <si>
    <t>A1</t>
  </si>
  <si>
    <t>Jeff</t>
  </si>
  <si>
    <t>A4</t>
  </si>
  <si>
    <t>C3</t>
  </si>
  <si>
    <t>C14</t>
  </si>
  <si>
    <t>Jenny</t>
  </si>
  <si>
    <t>A12</t>
  </si>
  <si>
    <t>B3</t>
  </si>
  <si>
    <t>B7</t>
  </si>
  <si>
    <t>B11</t>
  </si>
  <si>
    <t>Total Quantity Sold By Ben</t>
  </si>
  <si>
    <t>Total Quantity Sold By Jenny</t>
  </si>
  <si>
    <t>Total Quantity Sold By Ben &amp; Jenny</t>
  </si>
  <si>
    <t>SUMIF(A2:A9,"Ben",C2:C9)+SUMIF(A2:A9,"Jenny",C2:C9)</t>
  </si>
  <si>
    <t>Total Quantity Sold By Jeff &amp; Jenny</t>
  </si>
  <si>
    <t>Assignment -35</t>
  </si>
  <si>
    <t>Use of SUMPRODUCT &amp; VLOOKUP</t>
  </si>
  <si>
    <t>Qt.</t>
  </si>
  <si>
    <t>Price</t>
  </si>
  <si>
    <t>Bulb</t>
  </si>
  <si>
    <t>Tube light</t>
  </si>
  <si>
    <t>Heater</t>
  </si>
  <si>
    <t>CFL</t>
  </si>
  <si>
    <t>charger</t>
  </si>
  <si>
    <t>SUMPRODUCT(B5:B9,C5:C9)</t>
  </si>
  <si>
    <t>USE OF VLOOKUP</t>
  </si>
  <si>
    <t>TABLE 1 TO TABLE 2</t>
  </si>
  <si>
    <t>Result Sheet</t>
  </si>
  <si>
    <t>City Code</t>
  </si>
  <si>
    <t>Pin Code</t>
  </si>
  <si>
    <t>U_362</t>
  </si>
  <si>
    <t>Z_143</t>
  </si>
  <si>
    <t>F_103</t>
  </si>
  <si>
    <t>N_148</t>
  </si>
  <si>
    <t>L_120</t>
  </si>
  <si>
    <t>G_455</t>
  </si>
  <si>
    <t>E_195</t>
  </si>
  <si>
    <t>E_41</t>
  </si>
  <si>
    <t>O_62</t>
  </si>
  <si>
    <t>B_277</t>
  </si>
  <si>
    <t>V_318</t>
  </si>
  <si>
    <t>J_446</t>
  </si>
  <si>
    <t>P_18</t>
  </si>
  <si>
    <t>T_84</t>
  </si>
  <si>
    <t>J_264</t>
  </si>
  <si>
    <t>X_296</t>
  </si>
  <si>
    <t>X_112</t>
  </si>
  <si>
    <t>J_430</t>
  </si>
  <si>
    <t>I_159</t>
  </si>
  <si>
    <t>F_10</t>
  </si>
  <si>
    <t>Assignment -36</t>
  </si>
  <si>
    <t>Emp</t>
  </si>
  <si>
    <t>Branch</t>
  </si>
  <si>
    <t>INCENTIVE</t>
  </si>
  <si>
    <t>Bonus</t>
  </si>
  <si>
    <t>TA</t>
  </si>
  <si>
    <t>Raja</t>
  </si>
  <si>
    <t>north</t>
  </si>
  <si>
    <t>Ferozepur</t>
  </si>
  <si>
    <t>Suman</t>
  </si>
  <si>
    <t>east</t>
  </si>
  <si>
    <t>Cuttack</t>
  </si>
  <si>
    <t>Mktg</t>
  </si>
  <si>
    <t>Beena</t>
  </si>
  <si>
    <t>R&amp;D</t>
  </si>
  <si>
    <t>Seema</t>
  </si>
  <si>
    <t>Julie</t>
  </si>
  <si>
    <t>Mathura</t>
  </si>
  <si>
    <t>Admin</t>
  </si>
  <si>
    <t>Neena</t>
  </si>
  <si>
    <t>Agra</t>
  </si>
  <si>
    <t>Director</t>
  </si>
  <si>
    <t>Pankaj</t>
  </si>
  <si>
    <t>Ambala</t>
  </si>
  <si>
    <t>Personal</t>
  </si>
  <si>
    <t>Andre</t>
  </si>
  <si>
    <t>Darjeeling</t>
  </si>
  <si>
    <t>CCD</t>
  </si>
  <si>
    <t>Sujay</t>
  </si>
  <si>
    <t>west</t>
  </si>
  <si>
    <t>Shilpa</t>
  </si>
  <si>
    <t>Jammu</t>
  </si>
  <si>
    <t>Meera</t>
  </si>
  <si>
    <t>Calcutta</t>
  </si>
  <si>
    <t>Sheetal</t>
  </si>
  <si>
    <t>cochin</t>
  </si>
  <si>
    <t>K. Sita</t>
  </si>
  <si>
    <t>Priya</t>
  </si>
  <si>
    <t>Jaipur</t>
  </si>
  <si>
    <t>Aalok</t>
  </si>
  <si>
    <t>Aakash</t>
  </si>
  <si>
    <t>Nasik</t>
  </si>
  <si>
    <t>Parvati</t>
  </si>
  <si>
    <t>Q.1 How many Emloyee in Sales and Mktg Department.</t>
  </si>
  <si>
    <t>Q.2 How Many salary in Sales Department.</t>
  </si>
  <si>
    <t>Q.3 How many Employee Department Sales, North Region Salary.</t>
  </si>
  <si>
    <t>Use Sumifs Function</t>
  </si>
  <si>
    <t>Q.4 How many Employee Department Sales and Region north.</t>
  </si>
  <si>
    <t>Use Countifs Function</t>
  </si>
  <si>
    <t>Assignment -37</t>
  </si>
  <si>
    <t>WITH CONDITION TRUE/FALSE</t>
  </si>
  <si>
    <t>CONDITION</t>
  </si>
  <si>
    <t>Empcode</t>
  </si>
  <si>
    <t>Incentive</t>
  </si>
  <si>
    <t>salary slab</t>
  </si>
  <si>
    <t>incentive</t>
  </si>
  <si>
    <t>grade</t>
  </si>
  <si>
    <t>G</t>
  </si>
  <si>
    <t>H</t>
  </si>
  <si>
    <t>Farhan</t>
  </si>
  <si>
    <t>Satinder Kaur</t>
  </si>
  <si>
    <t>Suchita</t>
  </si>
  <si>
    <t>Shazia</t>
  </si>
  <si>
    <t>Jasbinder</t>
  </si>
  <si>
    <t>Bharat</t>
  </si>
  <si>
    <t>Rishi</t>
  </si>
  <si>
    <t>Mala</t>
  </si>
  <si>
    <t>Hajra</t>
  </si>
  <si>
    <t>Aalam</t>
  </si>
  <si>
    <t>Giriraj</t>
  </si>
  <si>
    <t>Ankur</t>
  </si>
  <si>
    <t>Tapan</t>
  </si>
  <si>
    <t>Zarina</t>
  </si>
  <si>
    <t>Arun</t>
  </si>
  <si>
    <t>Chitra</t>
  </si>
  <si>
    <t>Kirtikar</t>
  </si>
  <si>
    <t>Assignment -38</t>
  </si>
  <si>
    <t>USE OF DATEDIF FORMULAS CALCULATE DOB</t>
  </si>
  <si>
    <t>FirstDate</t>
  </si>
  <si>
    <t>SecondDate</t>
  </si>
  <si>
    <t>Interval</t>
  </si>
  <si>
    <t>Difference</t>
  </si>
  <si>
    <t>days</t>
  </si>
  <si>
    <t>months</t>
  </si>
  <si>
    <t>years</t>
  </si>
  <si>
    <t>yeardays</t>
  </si>
  <si>
    <t>yearmonths</t>
  </si>
  <si>
    <t>monthdays</t>
  </si>
  <si>
    <t>What Does It Do?</t>
  </si>
  <si>
    <t>This function calculates the difference between two dates.</t>
  </si>
  <si>
    <t>It can show the result in weeks, months or years.</t>
  </si>
  <si>
    <t>Syntax</t>
  </si>
  <si>
    <t>FirstDate : This is the earliest of the two dates.</t>
  </si>
  <si>
    <t>SecondDate : This is the most recent of the two dates.</t>
  </si>
  <si>
    <t>"Interval" : This indicates what you want to calculate.</t>
  </si>
  <si>
    <t>These are the available intervals.</t>
  </si>
  <si>
    <t>"d"</t>
  </si>
  <si>
    <t>Days between the two dates.</t>
  </si>
  <si>
    <t>"m"</t>
  </si>
  <si>
    <t>Months between the two dates.</t>
  </si>
  <si>
    <t>"y"</t>
  </si>
  <si>
    <t>Years between the two dates.</t>
  </si>
  <si>
    <t>"yd"</t>
  </si>
  <si>
    <t>Days between the dates, as if the dates were in the same year.</t>
  </si>
  <si>
    <t>"ym"</t>
  </si>
  <si>
    <t>Months between the dates, as if the dates were in the same year.</t>
  </si>
  <si>
    <t>"md"</t>
  </si>
  <si>
    <t>Days between the two dates, as if the dates were in the same month and year.</t>
  </si>
  <si>
    <t>Formatting</t>
  </si>
  <si>
    <t>No special formatting is needed.</t>
  </si>
  <si>
    <t>Birth date :</t>
  </si>
  <si>
    <t>Years lived :</t>
  </si>
  <si>
    <t>and the months :</t>
  </si>
  <si>
    <t>and the days :</t>
  </si>
  <si>
    <t>You can put this all together in one calculation, which creates a text version.</t>
  </si>
  <si>
    <t>Age is 65 Years, 11 Months and 24 Days</t>
  </si>
  <si>
    <t>DATEDIF(C4,D4,"d")</t>
  </si>
  <si>
    <t>DATEDIF(C5,D5,"m")</t>
  </si>
  <si>
    <t>DATEDIF(C6,D6,"y")</t>
  </si>
  <si>
    <t>DATEDIF(C7,D7,"yd")</t>
  </si>
  <si>
    <t>DATEDIF(C8,D8,"ym")</t>
  </si>
  <si>
    <t>DATEDIF(C9,D9,"md")</t>
  </si>
  <si>
    <t>DATEDIF(FirstDate,SecondDate,"Interval")</t>
  </si>
  <si>
    <t>DATEDIF(C8,TODAY(),"y")</t>
  </si>
  <si>
    <t>DATEDIF(C8,TODAY(),"ym")</t>
  </si>
  <si>
    <t>DATEDIF(C8,TODAY(),"md")</t>
  </si>
  <si>
    <t>"Age is "&amp;DATEDIF(C8,TODAY(),"y")&amp;" Years, "&amp;DATEDIF(C8,TODAY(),"ym")&amp;" Months and "&amp;DATEDIF(C8,TODAY(),"md")&amp;" Days"</t>
  </si>
  <si>
    <t>Assignment -39</t>
  </si>
  <si>
    <t>USE OF DAVERAGE</t>
  </si>
  <si>
    <t>Wattage</t>
  </si>
  <si>
    <t>Life Hours</t>
  </si>
  <si>
    <t>Unit Cost</t>
  </si>
  <si>
    <t>Box Quantity</t>
  </si>
  <si>
    <t>Boxes In Stock</t>
  </si>
  <si>
    <t>Value Of Stock</t>
  </si>
  <si>
    <t>Horizon</t>
  </si>
  <si>
    <t>£54.00</t>
  </si>
  <si>
    <t>Neon</t>
  </si>
  <si>
    <t>£60.00</t>
  </si>
  <si>
    <t>Spot</t>
  </si>
  <si>
    <t>£0.00</t>
  </si>
  <si>
    <t>Other</t>
  </si>
  <si>
    <t>Sunbeam</t>
  </si>
  <si>
    <t>£120.00</t>
  </si>
  <si>
    <t>£24.00</t>
  </si>
  <si>
    <t>unknown</t>
  </si>
  <si>
    <t>£50.00</t>
  </si>
  <si>
    <t>£15.00</t>
  </si>
  <si>
    <t>£30.00</t>
  </si>
  <si>
    <t>£180.00</t>
  </si>
  <si>
    <t>£12.50</t>
  </si>
  <si>
    <t>£10.00</t>
  </si>
  <si>
    <t>£12.00</t>
  </si>
  <si>
    <t>£40.00</t>
  </si>
  <si>
    <t>To calculate the Average cost of a particular Brand of bulb.</t>
  </si>
  <si>
    <r>
      <t xml:space="preserve">These two cells are the </t>
    </r>
    <r>
      <rPr>
        <b/>
        <i/>
        <sz val="10"/>
        <color rgb="FF000000"/>
        <rFont val="Arial"/>
        <family val="2"/>
      </rPr>
      <t>Criteria</t>
    </r>
    <r>
      <rPr>
        <i/>
        <sz val="10"/>
        <color rgb="FF000000"/>
        <rFont val="Arial"/>
        <family val="2"/>
      </rPr>
      <t xml:space="preserve"> range.</t>
    </r>
  </si>
  <si>
    <t>Type the brand name :</t>
  </si>
  <si>
    <t>The Average cost of sunbeam is :</t>
  </si>
  <si>
    <t>Examples</t>
  </si>
  <si>
    <t>The average Unit Cost of a particular Product of a particular Brand.</t>
  </si>
  <si>
    <t>The average of Horizon Bulb is :</t>
  </si>
  <si>
    <t>This is the same calculation but using the actual name "Unit Cost" instead of the cell address.</t>
  </si>
  <si>
    <t>The average Unit Cost of a Bulb equal to a particular Wattage.</t>
  </si>
  <si>
    <t>Average of Bulb 100 is :</t>
  </si>
  <si>
    <t>The average Unit Cost of a Bulb less then a particular Wattage.</t>
  </si>
  <si>
    <t>&lt;100</t>
  </si>
  <si>
    <t>Average of Bulb &lt;100 is :</t>
  </si>
  <si>
    <t>DAVERAGE(B3:I19,F3,E23:E24)</t>
  </si>
  <si>
    <t>daverage</t>
  </si>
  <si>
    <t>Assignment -45</t>
  </si>
  <si>
    <t>USE OF LEFT, FIND, LEN,LOWER, NETWORKDAYS</t>
  </si>
  <si>
    <t>USE OF LEFT</t>
  </si>
  <si>
    <t>Text</t>
  </si>
  <si>
    <t>Number Of
Characters Required</t>
  </si>
  <si>
    <t>Left String</t>
  </si>
  <si>
    <t>Alan Jones</t>
  </si>
  <si>
    <t>LEFT(A5,B5)</t>
  </si>
  <si>
    <t>Cardiff</t>
  </si>
  <si>
    <t>ABC123</t>
  </si>
  <si>
    <t>USE OF LEFT AND FIND</t>
  </si>
  <si>
    <t>Bob Smith</t>
  </si>
  <si>
    <t>Carol Williams</t>
  </si>
  <si>
    <t>USE OF LEN</t>
  </si>
  <si>
    <t>Length</t>
  </si>
  <si>
    <t>USE OF LOWER</t>
  </si>
  <si>
    <t>Upper Case Text</t>
  </si>
  <si>
    <t>Lower Case</t>
  </si>
  <si>
    <t>ALAN JONES</t>
  </si>
  <si>
    <t>BOB SMITH</t>
  </si>
  <si>
    <t>CAROL WILLIAMS</t>
  </si>
  <si>
    <t>CARDIFF</t>
  </si>
  <si>
    <t>USE OF NETWORKDAYS</t>
  </si>
  <si>
    <t>Start Date</t>
  </si>
  <si>
    <t>End Date</t>
  </si>
  <si>
    <t>Work Days</t>
  </si>
  <si>
    <t>Assignment -30</t>
  </si>
  <si>
    <t>Get Pivot Table</t>
  </si>
  <si>
    <t>Pivot Table Result</t>
  </si>
  <si>
    <t>Date of Sale</t>
  </si>
  <si>
    <t>Sales Amt</t>
  </si>
  <si>
    <t>(All)</t>
  </si>
  <si>
    <t>19/1/2018</t>
  </si>
  <si>
    <t>16/1/2018</t>
  </si>
  <si>
    <t>Sum of Sales Amt</t>
  </si>
  <si>
    <t>22/1/2018</t>
  </si>
  <si>
    <t>13/2/2018</t>
  </si>
  <si>
    <t>15/2/2018</t>
  </si>
  <si>
    <t>22/2/2018</t>
  </si>
  <si>
    <t>26/2/2018</t>
  </si>
  <si>
    <t>27/2/2018</t>
  </si>
  <si>
    <t>28/2/2018</t>
  </si>
  <si>
    <t>Grand Total</t>
  </si>
  <si>
    <t>Row Labels</t>
  </si>
  <si>
    <t>Assignment -12</t>
  </si>
  <si>
    <t>Create Pivot Table Using Data</t>
  </si>
  <si>
    <t>Answer</t>
  </si>
  <si>
    <t>Quarter</t>
  </si>
  <si>
    <t>Sum of Sales</t>
  </si>
  <si>
    <t>UK</t>
  </si>
  <si>
    <t>Qtr 3</t>
  </si>
  <si>
    <t>Brown</t>
  </si>
  <si>
    <t>USA</t>
  </si>
  <si>
    <t>Qtr 4</t>
  </si>
  <si>
    <t>Qtr 2</t>
  </si>
  <si>
    <t>Jones</t>
  </si>
  <si>
    <t>Qtr 1</t>
  </si>
  <si>
    <t>DA</t>
  </si>
  <si>
    <t>HRA</t>
  </si>
  <si>
    <t>PF</t>
  </si>
  <si>
    <t>PRACTICE</t>
  </si>
  <si>
    <t>SUMIFS(D4:D14,C4:C14,"United States",B4:B14,"Male")</t>
  </si>
  <si>
    <t>Q.3 Total Sales 0f Spring Season in Washngton and California?</t>
  </si>
  <si>
    <t>Column Labels</t>
  </si>
  <si>
    <t>Count of Sales $</t>
  </si>
  <si>
    <t>EMP ID</t>
  </si>
  <si>
    <t>FN</t>
  </si>
  <si>
    <t>LN</t>
  </si>
  <si>
    <t>LOCATION</t>
  </si>
  <si>
    <t>EMP NAME</t>
  </si>
  <si>
    <t>DEPT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</si>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</sst>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164" formatCode="d/m/yyyy"/>
    <numFmt numFmtId="165" formatCode="dd\-mm\-yyyy"/>
    <numFmt numFmtId="166" formatCode="dd/mm/yyyy"/>
    <numFmt numFmtId="167" formatCode="[$$-809]#,##0"/>
    <numFmt numFmtId="168" formatCode="[$$-809]#,##0.00"/>
    <numFmt numFmtId="169" formatCode="&quot;$&quot;#,##0.00"/>
  </numFmts>
  <fonts count="5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b/>
      <sz val="14"/>
      <color theme="1"/>
      <name val="Arial Black"/>
      <family val="2"/>
    </font>
    <font>
      <sz val="18"/>
      <color theme="1"/>
      <name val="Arial Black"/>
      <family val="2"/>
    </font>
    <font>
      <b/>
      <sz val="11"/>
      <color theme="1"/>
      <name val="Arial Narrow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 Bold"/>
      <family val="2"/>
    </font>
    <font>
      <sz val="11"/>
      <name val="Calibri"/>
      <family val="2"/>
    </font>
    <font>
      <sz val="12"/>
      <name val="Calibri Bold"/>
      <family val="2"/>
    </font>
    <font>
      <sz val="12"/>
      <name val="Calibri"/>
      <family val="2"/>
    </font>
    <font>
      <sz val="11"/>
      <color rgb="FFFFFF00"/>
      <name val="Calibri Bold"/>
      <family val="2"/>
    </font>
    <font>
      <sz val="14"/>
      <name val="Cambria"/>
      <family val="2"/>
    </font>
    <font>
      <sz val="11"/>
      <color rgb="FF002060"/>
      <name val="Calibri"/>
      <family val="2"/>
      <scheme val="minor"/>
    </font>
    <font>
      <sz val="11"/>
      <color rgb="FFFF0000"/>
      <name val="Calibri"/>
      <family val="2"/>
    </font>
    <font>
      <sz val="10"/>
      <name val="Arial Bold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theme="1"/>
      <name val="Calibri Bold"/>
      <family val="2"/>
    </font>
    <font>
      <sz val="13"/>
      <name val="Calibri Bold"/>
      <family val="2"/>
    </font>
    <font>
      <sz val="11"/>
      <color rgb="FFFF0000"/>
      <name val="Calibri Bold"/>
      <family val="2"/>
    </font>
    <font>
      <sz val="12"/>
      <color rgb="FFFF0000"/>
      <name val="Calibri"/>
      <family val="2"/>
    </font>
    <font>
      <sz val="11"/>
      <name val="Cambria"/>
      <family val="2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0"/>
      <color theme="1"/>
      <name val="Verdana"/>
      <family val="2"/>
    </font>
    <font>
      <b/>
      <u/>
      <sz val="16"/>
      <color theme="1"/>
      <name val="Arimo"/>
    </font>
    <font>
      <sz val="11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800080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sz val="8"/>
      <color rgb="FF0000FF"/>
      <name val="Arial Narrow"/>
      <family val="2"/>
    </font>
    <font>
      <b/>
      <sz val="10"/>
      <color rgb="FFFF0000"/>
      <name val="Arial"/>
      <family val="2"/>
    </font>
    <font>
      <i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9E0E8"/>
        <bgColor indexed="64"/>
      </patternFill>
    </fill>
    <fill>
      <patternFill patternType="solid">
        <fgColor rgb="FF6883A4"/>
        <bgColor indexed="64"/>
      </patternFill>
    </fill>
    <fill>
      <patternFill patternType="solid">
        <fgColor rgb="FFF2F5F7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D9959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D99594"/>
      </bottom>
      <diagonal/>
    </border>
    <border>
      <left style="medium">
        <color rgb="FF000000"/>
      </left>
      <right/>
      <top style="medium">
        <color rgb="FFCCCCCC"/>
      </top>
      <bottom style="medium">
        <color rgb="FFD9959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double">
        <color rgb="FF000000"/>
      </bottom>
      <diagonal/>
    </border>
    <border>
      <left/>
      <right/>
      <top style="medium">
        <color rgb="FFCCCCCC"/>
      </top>
      <bottom style="double">
        <color rgb="FF000000"/>
      </bottom>
      <diagonal/>
    </border>
    <border>
      <left/>
      <right style="medium">
        <color rgb="FFCCCCCC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008000"/>
      </bottom>
      <diagonal/>
    </border>
    <border>
      <left style="double">
        <color rgb="FF008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double">
        <color rgb="FF008000"/>
      </right>
      <top style="medium">
        <color rgb="FFCCCCCC"/>
      </top>
      <bottom style="medium">
        <color rgb="FF000000"/>
      </bottom>
      <diagonal/>
    </border>
    <border>
      <left style="double">
        <color rgb="FF008000"/>
      </left>
      <right style="medium">
        <color rgb="FF000000"/>
      </right>
      <top style="medium">
        <color rgb="FFCCCCCC"/>
      </top>
      <bottom style="double">
        <color rgb="FF008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uble">
        <color rgb="FF008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FF00FF"/>
      </bottom>
      <diagonal/>
    </border>
    <border>
      <left style="medium">
        <color rgb="FFCCCCCC"/>
      </left>
      <right style="double">
        <color rgb="FFFF00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double">
        <color rgb="FFFF00FF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double">
        <color rgb="FFFF00FF"/>
      </right>
      <top style="medium">
        <color rgb="FFCCCCCC"/>
      </top>
      <bottom style="double">
        <color rgb="FFFF00FF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uble">
        <color rgb="FFFF00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6883A4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1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0" xfId="0" applyFill="1"/>
    <xf numFmtId="0" fontId="0" fillId="0" borderId="1" xfId="0" applyBorder="1" applyAlignment="1">
      <alignment wrapText="1"/>
    </xf>
    <xf numFmtId="0" fontId="0" fillId="4" borderId="1" xfId="0" applyFill="1" applyBorder="1"/>
    <xf numFmtId="0" fontId="0" fillId="0" borderId="0" xfId="0" applyAlignment="1">
      <alignment horizontal="center"/>
    </xf>
    <xf numFmtId="0" fontId="0" fillId="5" borderId="1" xfId="0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6" borderId="1" xfId="0" applyFill="1" applyBorder="1"/>
    <xf numFmtId="0" fontId="0" fillId="6" borderId="0" xfId="0" applyFill="1"/>
    <xf numFmtId="0" fontId="6" fillId="0" borderId="0" xfId="0" applyFont="1"/>
    <xf numFmtId="0" fontId="0" fillId="7" borderId="1" xfId="0" applyFill="1" applyBorder="1" applyAlignment="1">
      <alignment wrapText="1"/>
    </xf>
    <xf numFmtId="0" fontId="0" fillId="7" borderId="1" xfId="0" applyFill="1" applyBorder="1"/>
    <xf numFmtId="0" fontId="0" fillId="8" borderId="1" xfId="0" applyFill="1" applyBorder="1"/>
    <xf numFmtId="0" fontId="0" fillId="8" borderId="1" xfId="0" applyFill="1" applyBorder="1" applyAlignment="1">
      <alignment wrapText="1"/>
    </xf>
    <xf numFmtId="0" fontId="7" fillId="0" borderId="0" xfId="0" applyFont="1"/>
    <xf numFmtId="0" fontId="8" fillId="9" borderId="0" xfId="0" applyFont="1" applyFill="1"/>
    <xf numFmtId="0" fontId="0" fillId="10" borderId="1" xfId="0" applyFill="1" applyBorder="1"/>
    <xf numFmtId="164" fontId="0" fillId="10" borderId="1" xfId="0" applyNumberFormat="1" applyFill="1" applyBorder="1"/>
    <xf numFmtId="14" fontId="0" fillId="10" borderId="1" xfId="0" applyNumberFormat="1" applyFill="1" applyBorder="1"/>
    <xf numFmtId="0" fontId="0" fillId="10" borderId="0" xfId="0" applyFill="1"/>
    <xf numFmtId="165" fontId="0" fillId="0" borderId="1" xfId="0" applyNumberFormat="1" applyBorder="1"/>
    <xf numFmtId="0" fontId="0" fillId="11" borderId="1" xfId="0" applyFill="1" applyBorder="1"/>
    <xf numFmtId="0" fontId="0" fillId="0" borderId="0" xfId="0" applyAlignment="1">
      <alignment horizontal="left"/>
    </xf>
    <xf numFmtId="0" fontId="0" fillId="12" borderId="1" xfId="0" applyFill="1" applyBorder="1"/>
    <xf numFmtId="166" fontId="0" fillId="12" borderId="1" xfId="0" applyNumberFormat="1" applyFill="1" applyBorder="1"/>
    <xf numFmtId="3" fontId="0" fillId="12" borderId="1" xfId="0" applyNumberFormat="1" applyFill="1" applyBorder="1" applyAlignment="1">
      <alignment horizontal="right"/>
    </xf>
    <xf numFmtId="0" fontId="0" fillId="12" borderId="1" xfId="0" applyFill="1" applyBorder="1" applyAlignment="1">
      <alignment horizontal="right"/>
    </xf>
    <xf numFmtId="4" fontId="0" fillId="12" borderId="1" xfId="0" applyNumberFormat="1" applyFill="1" applyBorder="1" applyAlignment="1">
      <alignment horizontal="right"/>
    </xf>
    <xf numFmtId="0" fontId="10" fillId="0" borderId="0" xfId="0" applyFont="1"/>
    <xf numFmtId="0" fontId="11" fillId="0" borderId="0" xfId="0" applyFont="1"/>
    <xf numFmtId="167" fontId="11" fillId="0" borderId="0" xfId="0" applyNumberFormat="1" applyFont="1"/>
    <xf numFmtId="0" fontId="12" fillId="11" borderId="1" xfId="0" applyFont="1" applyFill="1" applyBorder="1"/>
    <xf numFmtId="0" fontId="13" fillId="13" borderId="1" xfId="0" applyFont="1" applyFill="1" applyBorder="1"/>
    <xf numFmtId="167" fontId="13" fillId="13" borderId="1" xfId="0" applyNumberFormat="1" applyFont="1" applyFill="1" applyBorder="1"/>
    <xf numFmtId="168" fontId="11" fillId="0" borderId="0" xfId="0" applyNumberFormat="1" applyFont="1"/>
    <xf numFmtId="0" fontId="15" fillId="0" borderId="0" xfId="0" applyFont="1"/>
    <xf numFmtId="1" fontId="11" fillId="0" borderId="0" xfId="0" applyNumberFormat="1" applyFont="1"/>
    <xf numFmtId="0" fontId="14" fillId="7" borderId="0" xfId="0" applyFont="1" applyFill="1"/>
    <xf numFmtId="0" fontId="16" fillId="0" borderId="1" xfId="0" applyFont="1" applyBorder="1"/>
    <xf numFmtId="0" fontId="11" fillId="14" borderId="1" xfId="0" applyFont="1" applyFill="1" applyBorder="1"/>
    <xf numFmtId="0" fontId="0" fillId="14" borderId="1" xfId="0" applyFill="1" applyBorder="1"/>
    <xf numFmtId="168" fontId="11" fillId="14" borderId="1" xfId="0" applyNumberFormat="1" applyFont="1" applyFill="1" applyBorder="1"/>
    <xf numFmtId="0" fontId="17" fillId="0" borderId="0" xfId="0" applyFont="1"/>
    <xf numFmtId="0" fontId="18" fillId="0" borderId="0" xfId="0" applyFont="1"/>
    <xf numFmtId="0" fontId="18" fillId="15" borderId="1" xfId="0" applyFont="1" applyFill="1" applyBorder="1"/>
    <xf numFmtId="0" fontId="19" fillId="16" borderId="1" xfId="0" applyFont="1" applyFill="1" applyBorder="1"/>
    <xf numFmtId="1" fontId="19" fillId="16" borderId="1" xfId="0" applyNumberFormat="1" applyFont="1" applyFill="1" applyBorder="1"/>
    <xf numFmtId="0" fontId="10" fillId="0" borderId="1" xfId="0" applyFont="1" applyBorder="1"/>
    <xf numFmtId="0" fontId="11" fillId="0" borderId="1" xfId="0" applyFont="1" applyBorder="1"/>
    <xf numFmtId="1" fontId="11" fillId="0" borderId="1" xfId="0" applyNumberFormat="1" applyFont="1" applyBorder="1"/>
    <xf numFmtId="0" fontId="10" fillId="11" borderId="1" xfId="0" applyFont="1" applyFill="1" applyBorder="1"/>
    <xf numFmtId="0" fontId="21" fillId="11" borderId="1" xfId="0" applyFont="1" applyFill="1" applyBorder="1"/>
    <xf numFmtId="1" fontId="20" fillId="11" borderId="1" xfId="0" applyNumberFormat="1" applyFont="1" applyFill="1" applyBorder="1"/>
    <xf numFmtId="0" fontId="8" fillId="0" borderId="1" xfId="0" applyFont="1" applyBorder="1"/>
    <xf numFmtId="0" fontId="22" fillId="0" borderId="0" xfId="0" applyFont="1"/>
    <xf numFmtId="3" fontId="11" fillId="0" borderId="1" xfId="0" applyNumberFormat="1" applyFont="1" applyBorder="1"/>
    <xf numFmtId="0" fontId="23" fillId="2" borderId="1" xfId="0" applyFont="1" applyFill="1" applyBorder="1"/>
    <xf numFmtId="3" fontId="0" fillId="7" borderId="1" xfId="0" applyNumberFormat="1" applyFill="1" applyBorder="1"/>
    <xf numFmtId="0" fontId="13" fillId="0" borderId="0" xfId="0" applyFont="1"/>
    <xf numFmtId="0" fontId="12" fillId="7" borderId="1" xfId="0" applyFont="1" applyFill="1" applyBorder="1"/>
    <xf numFmtId="0" fontId="13" fillId="12" borderId="1" xfId="0" applyFont="1" applyFill="1" applyBorder="1"/>
    <xf numFmtId="3" fontId="13" fillId="12" borderId="1" xfId="0" applyNumberFormat="1" applyFont="1" applyFill="1" applyBorder="1"/>
    <xf numFmtId="0" fontId="13" fillId="17" borderId="1" xfId="0" applyFont="1" applyFill="1" applyBorder="1"/>
    <xf numFmtId="0" fontId="24" fillId="0" borderId="0" xfId="0" applyFont="1"/>
    <xf numFmtId="0" fontId="12" fillId="18" borderId="1" xfId="0" applyFont="1" applyFill="1" applyBorder="1"/>
    <xf numFmtId="0" fontId="13" fillId="19" borderId="1" xfId="0" applyFont="1" applyFill="1" applyBorder="1"/>
    <xf numFmtId="3" fontId="13" fillId="19" borderId="1" xfId="0" applyNumberFormat="1" applyFont="1" applyFill="1" applyBorder="1" applyAlignment="1">
      <alignment horizontal="left"/>
    </xf>
    <xf numFmtId="3" fontId="13" fillId="19" borderId="1" xfId="0" applyNumberFormat="1" applyFont="1" applyFill="1" applyBorder="1"/>
    <xf numFmtId="0" fontId="25" fillId="0" borderId="0" xfId="0" applyFont="1"/>
    <xf numFmtId="0" fontId="0" fillId="0" borderId="6" xfId="0" applyBorder="1" applyAlignment="1">
      <alignment wrapText="1"/>
    </xf>
    <xf numFmtId="0" fontId="0" fillId="0" borderId="2" xfId="0" applyBorder="1" applyAlignment="1">
      <alignment wrapText="1"/>
    </xf>
    <xf numFmtId="0" fontId="27" fillId="20" borderId="7" xfId="0" applyFont="1" applyFill="1" applyBorder="1" applyAlignment="1">
      <alignment horizontal="center" wrapText="1"/>
    </xf>
    <xf numFmtId="0" fontId="27" fillId="20" borderId="8" xfId="0" applyFont="1" applyFill="1" applyBorder="1" applyAlignment="1">
      <alignment horizontal="center" wrapText="1"/>
    </xf>
    <xf numFmtId="0" fontId="0" fillId="0" borderId="9" xfId="0" applyBorder="1" applyAlignment="1">
      <alignment wrapText="1"/>
    </xf>
    <xf numFmtId="0" fontId="0" fillId="21" borderId="7" xfId="0" applyFill="1" applyBorder="1" applyAlignment="1">
      <alignment horizontal="center" wrapText="1"/>
    </xf>
    <xf numFmtId="0" fontId="0" fillId="21" borderId="8" xfId="0" applyFill="1" applyBorder="1" applyAlignment="1">
      <alignment horizontal="center" wrapText="1"/>
    </xf>
    <xf numFmtId="0" fontId="27" fillId="22" borderId="8" xfId="0" applyFont="1" applyFill="1" applyBorder="1" applyAlignment="1">
      <alignment horizontal="center" wrapText="1"/>
    </xf>
    <xf numFmtId="0" fontId="27" fillId="22" borderId="7" xfId="0" applyFont="1" applyFill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27" fillId="20" borderId="8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wrapText="1"/>
    </xf>
    <xf numFmtId="0" fontId="1" fillId="0" borderId="2" xfId="0" applyFont="1" applyBorder="1" applyAlignment="1">
      <alignment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wrapText="1"/>
    </xf>
    <xf numFmtId="0" fontId="1" fillId="2" borderId="6" xfId="0" applyFont="1" applyFill="1" applyBorder="1" applyAlignment="1">
      <alignment horizontal="center" vertical="center"/>
    </xf>
    <xf numFmtId="0" fontId="29" fillId="0" borderId="6" xfId="0" applyFont="1" applyBorder="1" applyAlignment="1">
      <alignment horizontal="center" wrapText="1"/>
    </xf>
    <xf numFmtId="0" fontId="27" fillId="20" borderId="7" xfId="0" applyFont="1" applyFill="1" applyBorder="1" applyAlignment="1">
      <alignment horizontal="center" vertical="center" wrapText="1"/>
    </xf>
    <xf numFmtId="0" fontId="27" fillId="20" borderId="8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1" fillId="24" borderId="7" xfId="0" applyFont="1" applyFill="1" applyBorder="1" applyAlignment="1">
      <alignment horizontal="center" vertical="center" wrapText="1"/>
    </xf>
    <xf numFmtId="0" fontId="1" fillId="24" borderId="8" xfId="0" applyFont="1" applyFill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5" fontId="0" fillId="0" borderId="7" xfId="0" applyNumberForma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horizontal="right" wrapText="1"/>
    </xf>
    <xf numFmtId="0" fontId="0" fillId="0" borderId="2" xfId="0" applyBorder="1" applyAlignment="1">
      <alignment vertical="center" wrapText="1"/>
    </xf>
    <xf numFmtId="0" fontId="28" fillId="0" borderId="2" xfId="0" applyFont="1" applyBorder="1" applyAlignment="1">
      <alignment vertical="center"/>
    </xf>
    <xf numFmtId="0" fontId="29" fillId="0" borderId="6" xfId="0" applyFont="1" applyBorder="1" applyAlignment="1">
      <alignment wrapText="1"/>
    </xf>
    <xf numFmtId="0" fontId="1" fillId="25" borderId="7" xfId="0" applyFont="1" applyFill="1" applyBorder="1" applyAlignment="1">
      <alignment horizontal="center" wrapText="1"/>
    </xf>
    <xf numFmtId="0" fontId="1" fillId="25" borderId="8" xfId="0" applyFont="1" applyFill="1" applyBorder="1" applyAlignment="1">
      <alignment horizontal="center" wrapText="1"/>
    </xf>
    <xf numFmtId="0" fontId="0" fillId="26" borderId="7" xfId="0" applyFill="1" applyBorder="1" applyAlignment="1">
      <alignment horizontal="center" wrapText="1"/>
    </xf>
    <xf numFmtId="0" fontId="0" fillId="26" borderId="8" xfId="0" applyFill="1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29" fillId="0" borderId="6" xfId="0" applyFont="1" applyBorder="1" applyAlignment="1">
      <alignment vertical="center"/>
    </xf>
    <xf numFmtId="0" fontId="0" fillId="26" borderId="17" xfId="0" applyFill="1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1" fillId="25" borderId="21" xfId="0" applyFont="1" applyFill="1" applyBorder="1" applyAlignment="1">
      <alignment horizontal="center" wrapText="1"/>
    </xf>
    <xf numFmtId="0" fontId="0" fillId="0" borderId="22" xfId="0" applyBorder="1" applyAlignment="1">
      <alignment wrapText="1"/>
    </xf>
    <xf numFmtId="0" fontId="0" fillId="21" borderId="8" xfId="0" applyFill="1" applyBorder="1" applyAlignment="1">
      <alignment wrapText="1"/>
    </xf>
    <xf numFmtId="0" fontId="0" fillId="0" borderId="6" xfId="0" applyBorder="1" applyAlignment="1">
      <alignment horizontal="center" vertical="center"/>
    </xf>
    <xf numFmtId="0" fontId="31" fillId="27" borderId="7" xfId="0" applyFont="1" applyFill="1" applyBorder="1" applyAlignment="1">
      <alignment horizontal="center" vertical="center" wrapText="1"/>
    </xf>
    <xf numFmtId="0" fontId="31" fillId="27" borderId="8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28" borderId="8" xfId="0" applyFill="1" applyBorder="1" applyAlignment="1">
      <alignment horizontal="center" wrapText="1"/>
    </xf>
    <xf numFmtId="3" fontId="0" fillId="0" borderId="8" xfId="0" applyNumberFormat="1" applyBorder="1" applyAlignment="1">
      <alignment horizontal="center" wrapText="1"/>
    </xf>
    <xf numFmtId="0" fontId="1" fillId="24" borderId="8" xfId="0" applyFont="1" applyFill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32" fillId="24" borderId="7" xfId="0" applyFont="1" applyFill="1" applyBorder="1" applyAlignment="1">
      <alignment horizontal="center" vertical="center" wrapText="1"/>
    </xf>
    <xf numFmtId="0" fontId="32" fillId="24" borderId="8" xfId="0" applyFont="1" applyFill="1" applyBorder="1" applyAlignment="1">
      <alignment horizontal="center" vertical="center" wrapText="1"/>
    </xf>
    <xf numFmtId="0" fontId="33" fillId="0" borderId="7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3" fontId="33" fillId="0" borderId="8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32" fillId="22" borderId="6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1" fillId="0" borderId="2" xfId="0" applyFont="1" applyBorder="1" applyAlignment="1">
      <alignment horizontal="center" wrapText="1"/>
    </xf>
    <xf numFmtId="0" fontId="34" fillId="0" borderId="2" xfId="0" applyFont="1" applyBorder="1" applyAlignment="1">
      <alignment wrapText="1"/>
    </xf>
    <xf numFmtId="0" fontId="35" fillId="0" borderId="8" xfId="0" applyFont="1" applyBorder="1" applyAlignment="1">
      <alignment horizontal="center" wrapText="1"/>
    </xf>
    <xf numFmtId="0" fontId="0" fillId="29" borderId="8" xfId="0" applyFill="1" applyBorder="1" applyAlignment="1">
      <alignment wrapText="1"/>
    </xf>
    <xf numFmtId="0" fontId="0" fillId="29" borderId="6" xfId="0" applyFill="1" applyBorder="1" applyAlignment="1">
      <alignment wrapText="1"/>
    </xf>
    <xf numFmtId="0" fontId="37" fillId="22" borderId="8" xfId="0" applyFont="1" applyFill="1" applyBorder="1" applyAlignment="1">
      <alignment wrapText="1"/>
    </xf>
    <xf numFmtId="0" fontId="0" fillId="30" borderId="8" xfId="0" applyFill="1" applyBorder="1" applyAlignment="1">
      <alignment horizontal="right" wrapText="1"/>
    </xf>
    <xf numFmtId="0" fontId="0" fillId="30" borderId="8" xfId="0" applyFill="1" applyBorder="1" applyAlignment="1">
      <alignment wrapText="1"/>
    </xf>
    <xf numFmtId="0" fontId="0" fillId="30" borderId="6" xfId="0" applyFill="1" applyBorder="1" applyAlignment="1">
      <alignment horizontal="right" wrapText="1"/>
    </xf>
    <xf numFmtId="0" fontId="0" fillId="0" borderId="8" xfId="0" applyBorder="1" applyAlignment="1">
      <alignment wrapText="1"/>
    </xf>
    <xf numFmtId="0" fontId="0" fillId="0" borderId="8" xfId="0" applyBorder="1" applyAlignment="1">
      <alignment horizontal="right" wrapText="1"/>
    </xf>
    <xf numFmtId="0" fontId="0" fillId="31" borderId="8" xfId="0" applyFill="1" applyBorder="1" applyAlignment="1">
      <alignment horizontal="right" wrapText="1"/>
    </xf>
    <xf numFmtId="0" fontId="0" fillId="31" borderId="8" xfId="0" applyFill="1" applyBorder="1" applyAlignment="1">
      <alignment wrapText="1"/>
    </xf>
    <xf numFmtId="0" fontId="0" fillId="31" borderId="6" xfId="0" applyFill="1" applyBorder="1" applyAlignment="1">
      <alignment horizontal="right" wrapText="1"/>
    </xf>
    <xf numFmtId="0" fontId="38" fillId="22" borderId="8" xfId="0" applyFont="1" applyFill="1" applyBorder="1" applyAlignment="1">
      <alignment wrapText="1"/>
    </xf>
    <xf numFmtId="0" fontId="0" fillId="30" borderId="9" xfId="0" applyFill="1" applyBorder="1" applyAlignment="1">
      <alignment horizontal="right" wrapText="1"/>
    </xf>
    <xf numFmtId="0" fontId="0" fillId="30" borderId="9" xfId="0" applyFill="1" applyBorder="1" applyAlignment="1">
      <alignment wrapText="1"/>
    </xf>
    <xf numFmtId="0" fontId="0" fillId="30" borderId="2" xfId="0" applyFill="1" applyBorder="1" applyAlignment="1">
      <alignment horizontal="right" wrapText="1"/>
    </xf>
    <xf numFmtId="0" fontId="29" fillId="0" borderId="2" xfId="0" applyFont="1" applyBorder="1" applyAlignment="1">
      <alignment vertical="center"/>
    </xf>
    <xf numFmtId="0" fontId="1" fillId="0" borderId="2" xfId="0" applyFont="1" applyBorder="1" applyAlignment="1">
      <alignment horizontal="right" wrapText="1"/>
    </xf>
    <xf numFmtId="0" fontId="29" fillId="2" borderId="2" xfId="0" applyFont="1" applyFill="1" applyBorder="1" applyAlignment="1">
      <alignment vertical="center"/>
    </xf>
    <xf numFmtId="0" fontId="41" fillId="32" borderId="8" xfId="0" applyFont="1" applyFill="1" applyBorder="1" applyAlignment="1">
      <alignment wrapText="1"/>
    </xf>
    <xf numFmtId="0" fontId="41" fillId="32" borderId="8" xfId="0" applyFont="1" applyFill="1" applyBorder="1" applyAlignment="1">
      <alignment horizontal="right" wrapText="1"/>
    </xf>
    <xf numFmtId="0" fontId="41" fillId="32" borderId="8" xfId="0" applyFont="1" applyFill="1" applyBorder="1" applyAlignment="1">
      <alignment horizontal="center" wrapText="1"/>
    </xf>
    <xf numFmtId="0" fontId="41" fillId="32" borderId="6" xfId="0" applyFont="1" applyFill="1" applyBorder="1" applyAlignment="1">
      <alignment wrapText="1"/>
    </xf>
    <xf numFmtId="0" fontId="42" fillId="21" borderId="8" xfId="0" applyFont="1" applyFill="1" applyBorder="1" applyAlignment="1">
      <alignment horizontal="right" wrapText="1"/>
    </xf>
    <xf numFmtId="0" fontId="42" fillId="21" borderId="8" xfId="0" applyFont="1" applyFill="1" applyBorder="1" applyAlignment="1">
      <alignment wrapText="1"/>
    </xf>
    <xf numFmtId="3" fontId="42" fillId="21" borderId="8" xfId="0" applyNumberFormat="1" applyFont="1" applyFill="1" applyBorder="1" applyAlignment="1">
      <alignment horizontal="right" wrapText="1"/>
    </xf>
    <xf numFmtId="9" fontId="0" fillId="0" borderId="8" xfId="0" applyNumberFormat="1" applyBorder="1" applyAlignment="1">
      <alignment horizontal="right" wrapText="1"/>
    </xf>
    <xf numFmtId="10" fontId="41" fillId="32" borderId="8" xfId="0" applyNumberFormat="1" applyFont="1" applyFill="1" applyBorder="1" applyAlignment="1">
      <alignment wrapText="1"/>
    </xf>
    <xf numFmtId="10" fontId="0" fillId="28" borderId="8" xfId="0" applyNumberFormat="1" applyFill="1" applyBorder="1" applyAlignment="1">
      <alignment horizontal="right" wrapText="1"/>
    </xf>
    <xf numFmtId="0" fontId="42" fillId="0" borderId="7" xfId="0" applyFont="1" applyBorder="1" applyAlignment="1">
      <alignment horizontal="center" wrapText="1"/>
    </xf>
    <xf numFmtId="0" fontId="42" fillId="0" borderId="8" xfId="0" applyFont="1" applyBorder="1" applyAlignment="1">
      <alignment horizontal="center" wrapText="1"/>
    </xf>
    <xf numFmtId="0" fontId="42" fillId="0" borderId="6" xfId="0" applyFont="1" applyBorder="1" applyAlignment="1">
      <alignment horizontal="center" vertical="center"/>
    </xf>
    <xf numFmtId="15" fontId="43" fillId="0" borderId="7" xfId="0" applyNumberFormat="1" applyFont="1" applyBorder="1" applyAlignment="1">
      <alignment horizontal="center" wrapText="1"/>
    </xf>
    <xf numFmtId="15" fontId="43" fillId="0" borderId="8" xfId="0" applyNumberFormat="1" applyFont="1" applyBorder="1" applyAlignment="1">
      <alignment horizontal="center" wrapText="1"/>
    </xf>
    <xf numFmtId="0" fontId="44" fillId="0" borderId="8" xfId="0" applyFont="1" applyBorder="1" applyAlignment="1">
      <alignment horizontal="center" wrapText="1"/>
    </xf>
    <xf numFmtId="0" fontId="44" fillId="0" borderId="2" xfId="0" applyFont="1" applyBorder="1" applyAlignment="1">
      <alignment vertical="center"/>
    </xf>
    <xf numFmtId="0" fontId="45" fillId="0" borderId="32" xfId="0" applyFont="1" applyBorder="1" applyAlignment="1">
      <alignment vertical="center"/>
    </xf>
    <xf numFmtId="0" fontId="0" fillId="0" borderId="32" xfId="0" applyBorder="1" applyAlignment="1">
      <alignment wrapText="1"/>
    </xf>
    <xf numFmtId="0" fontId="45" fillId="0" borderId="32" xfId="0" applyFont="1" applyBorder="1" applyAlignment="1">
      <alignment wrapText="1"/>
    </xf>
    <xf numFmtId="0" fontId="42" fillId="0" borderId="8" xfId="0" applyFont="1" applyBorder="1" applyAlignment="1">
      <alignment wrapText="1"/>
    </xf>
    <xf numFmtId="15" fontId="43" fillId="0" borderId="8" xfId="0" applyNumberFormat="1" applyFont="1" applyBorder="1" applyAlignment="1">
      <alignment horizontal="right" wrapText="1"/>
    </xf>
    <xf numFmtId="0" fontId="44" fillId="0" borderId="8" xfId="0" applyFont="1" applyBorder="1" applyAlignment="1">
      <alignment horizontal="right" wrapText="1"/>
    </xf>
    <xf numFmtId="0" fontId="46" fillId="0" borderId="2" xfId="0" applyFont="1" applyBorder="1" applyAlignment="1">
      <alignment vertical="center"/>
    </xf>
    <xf numFmtId="2" fontId="44" fillId="0" borderId="8" xfId="0" applyNumberFormat="1" applyFont="1" applyBorder="1" applyAlignment="1">
      <alignment horizontal="center" wrapText="1"/>
    </xf>
    <xf numFmtId="0" fontId="0" fillId="0" borderId="33" xfId="0" applyBorder="1" applyAlignment="1">
      <alignment wrapText="1"/>
    </xf>
    <xf numFmtId="0" fontId="47" fillId="2" borderId="34" xfId="0" applyFont="1" applyFill="1" applyBorder="1" applyAlignment="1">
      <alignment horizontal="center" wrapText="1"/>
    </xf>
    <xf numFmtId="0" fontId="47" fillId="2" borderId="8" xfId="0" applyFont="1" applyFill="1" applyBorder="1" applyAlignment="1">
      <alignment horizontal="center" wrapText="1"/>
    </xf>
    <xf numFmtId="0" fontId="47" fillId="2" borderId="35" xfId="0" applyFont="1" applyFill="1" applyBorder="1" applyAlignment="1">
      <alignment horizontal="center" wrapText="1"/>
    </xf>
    <xf numFmtId="0" fontId="42" fillId="0" borderId="34" xfId="0" applyFont="1" applyBorder="1" applyAlignment="1">
      <alignment horizontal="center" wrapText="1"/>
    </xf>
    <xf numFmtId="0" fontId="42" fillId="0" borderId="35" xfId="0" applyFont="1" applyBorder="1" applyAlignment="1">
      <alignment horizontal="right" wrapText="1"/>
    </xf>
    <xf numFmtId="0" fontId="42" fillId="0" borderId="36" xfId="0" applyFont="1" applyBorder="1" applyAlignment="1">
      <alignment horizontal="center" wrapText="1"/>
    </xf>
    <xf numFmtId="0" fontId="42" fillId="0" borderId="37" xfId="0" applyFont="1" applyBorder="1" applyAlignment="1">
      <alignment horizontal="center"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42" fillId="0" borderId="40" xfId="0" applyFont="1" applyBorder="1" applyAlignment="1">
      <alignment horizontal="center" wrapText="1"/>
    </xf>
    <xf numFmtId="0" fontId="0" fillId="0" borderId="39" xfId="0" applyBorder="1" applyAlignment="1">
      <alignment vertical="center"/>
    </xf>
    <xf numFmtId="0" fontId="43" fillId="0" borderId="41" xfId="0" applyFont="1" applyBorder="1" applyAlignment="1">
      <alignment horizontal="center" wrapText="1"/>
    </xf>
    <xf numFmtId="0" fontId="0" fillId="0" borderId="9" xfId="0" applyBorder="1" applyAlignment="1">
      <alignment vertical="center"/>
    </xf>
    <xf numFmtId="0" fontId="45" fillId="0" borderId="2" xfId="0" applyFont="1" applyBorder="1" applyAlignment="1">
      <alignment vertical="center"/>
    </xf>
    <xf numFmtId="0" fontId="43" fillId="0" borderId="42" xfId="0" applyFont="1" applyBorder="1" applyAlignment="1">
      <alignment horizontal="center" wrapText="1"/>
    </xf>
    <xf numFmtId="0" fontId="43" fillId="33" borderId="42" xfId="0" applyFont="1" applyFill="1" applyBorder="1" applyAlignment="1">
      <alignment horizontal="center" wrapText="1"/>
    </xf>
    <xf numFmtId="0" fontId="44" fillId="33" borderId="8" xfId="0" applyFont="1" applyFill="1" applyBorder="1" applyAlignment="1">
      <alignment horizontal="center" wrapText="1"/>
    </xf>
    <xf numFmtId="169" fontId="0" fillId="0" borderId="2" xfId="0" applyNumberFormat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43" fillId="0" borderId="7" xfId="0" applyFont="1" applyBorder="1" applyAlignment="1">
      <alignment horizontal="center" wrapText="1"/>
    </xf>
    <xf numFmtId="0" fontId="43" fillId="0" borderId="8" xfId="0" applyFont="1" applyBorder="1" applyAlignment="1">
      <alignment horizontal="center" wrapText="1"/>
    </xf>
    <xf numFmtId="0" fontId="44" fillId="0" borderId="2" xfId="0" applyFont="1" applyBorder="1" applyAlignment="1">
      <alignment wrapText="1"/>
    </xf>
    <xf numFmtId="0" fontId="45" fillId="2" borderId="6" xfId="0" applyFont="1" applyFill="1" applyBorder="1" applyAlignment="1">
      <alignment horizontal="center" wrapText="1"/>
    </xf>
    <xf numFmtId="0" fontId="45" fillId="2" borderId="2" xfId="0" applyFont="1" applyFill="1" applyBorder="1" applyAlignment="1">
      <alignment horizontal="center" vertical="center"/>
    </xf>
    <xf numFmtId="169" fontId="42" fillId="0" borderId="8" xfId="0" applyNumberFormat="1" applyFont="1" applyBorder="1" applyAlignment="1">
      <alignment horizontal="center" wrapText="1"/>
    </xf>
    <xf numFmtId="169" fontId="0" fillId="0" borderId="8" xfId="0" applyNumberFormat="1" applyBorder="1" applyAlignment="1">
      <alignment wrapText="1"/>
    </xf>
    <xf numFmtId="169" fontId="42" fillId="0" borderId="37" xfId="0" applyNumberFormat="1" applyFont="1" applyBorder="1" applyAlignment="1">
      <alignment horizontal="center" wrapText="1"/>
    </xf>
    <xf numFmtId="169" fontId="0" fillId="0" borderId="0" xfId="0" applyNumberFormat="1"/>
    <xf numFmtId="0" fontId="48" fillId="0" borderId="2" xfId="0" applyFont="1" applyBorder="1" applyAlignment="1">
      <alignment vertical="center"/>
    </xf>
    <xf numFmtId="0" fontId="43" fillId="33" borderId="41" xfId="0" applyFont="1" applyFill="1" applyBorder="1" applyAlignment="1">
      <alignment horizontal="center" wrapText="1"/>
    </xf>
    <xf numFmtId="169" fontId="44" fillId="0" borderId="8" xfId="0" applyNumberFormat="1" applyFont="1" applyBorder="1" applyAlignment="1">
      <alignment horizontal="center" wrapText="1"/>
    </xf>
    <xf numFmtId="0" fontId="1" fillId="24" borderId="8" xfId="0" applyFont="1" applyFill="1" applyBorder="1" applyAlignment="1">
      <alignment wrapText="1"/>
    </xf>
    <xf numFmtId="14" fontId="0" fillId="0" borderId="8" xfId="0" applyNumberFormat="1" applyBorder="1" applyAlignment="1">
      <alignment wrapText="1"/>
    </xf>
    <xf numFmtId="3" fontId="0" fillId="0" borderId="8" xfId="0" applyNumberFormat="1" applyBorder="1" applyAlignment="1">
      <alignment horizontal="right" wrapText="1"/>
    </xf>
    <xf numFmtId="14" fontId="0" fillId="0" borderId="7" xfId="0" applyNumberFormat="1" applyBorder="1" applyAlignment="1">
      <alignment horizontal="center" wrapText="1"/>
    </xf>
    <xf numFmtId="0" fontId="0" fillId="0" borderId="7" xfId="0" applyBorder="1" applyAlignment="1">
      <alignment horizontal="right" wrapText="1"/>
    </xf>
    <xf numFmtId="0" fontId="0" fillId="21" borderId="2" xfId="0" applyFill="1" applyBorder="1" applyAlignment="1">
      <alignment wrapText="1"/>
    </xf>
    <xf numFmtId="0" fontId="0" fillId="0" borderId="0" xfId="0" pivotButton="1"/>
    <xf numFmtId="0" fontId="0" fillId="0" borderId="1" xfId="0" pivotButton="1" applyBorder="1"/>
    <xf numFmtId="0" fontId="0" fillId="0" borderId="1" xfId="0" applyBorder="1" applyAlignment="1">
      <alignment horizontal="left"/>
    </xf>
    <xf numFmtId="3" fontId="0" fillId="0" borderId="1" xfId="0" applyNumberFormat="1" applyBorder="1"/>
    <xf numFmtId="14" fontId="0" fillId="0" borderId="1" xfId="0" applyNumberFormat="1" applyBorder="1" applyAlignment="1">
      <alignment horizontal="left"/>
    </xf>
    <xf numFmtId="0" fontId="29" fillId="0" borderId="2" xfId="0" applyFont="1" applyBorder="1" applyAlignment="1">
      <alignment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50" fillId="34" borderId="43" xfId="0" applyFont="1" applyFill="1" applyBorder="1" applyAlignment="1">
      <alignment wrapText="1"/>
    </xf>
    <xf numFmtId="0" fontId="51" fillId="35" borderId="43" xfId="0" applyFont="1" applyFill="1" applyBorder="1" applyAlignment="1">
      <alignment wrapText="1"/>
    </xf>
    <xf numFmtId="8" fontId="0" fillId="0" borderId="0" xfId="0" applyNumberFormat="1"/>
    <xf numFmtId="8" fontId="0" fillId="0" borderId="8" xfId="0" applyNumberFormat="1" applyBorder="1" applyAlignment="1">
      <alignment horizontal="center" wrapText="1"/>
    </xf>
    <xf numFmtId="0" fontId="0" fillId="36" borderId="44" xfId="0" applyFill="1" applyBorder="1" applyAlignment="1">
      <alignment wrapText="1"/>
    </xf>
    <xf numFmtId="8" fontId="0" fillId="21" borderId="2" xfId="0" applyNumberFormat="1" applyFill="1" applyBorder="1" applyAlignment="1">
      <alignment horizontal="right" wrapText="1"/>
    </xf>
    <xf numFmtId="0" fontId="0" fillId="36" borderId="45" xfId="0" applyFill="1" applyBorder="1" applyAlignment="1">
      <alignment wrapText="1"/>
    </xf>
    <xf numFmtId="8" fontId="0" fillId="21" borderId="46" xfId="0" applyNumberFormat="1" applyFill="1" applyBorder="1" applyAlignment="1">
      <alignment horizontal="right" wrapText="1"/>
    </xf>
    <xf numFmtId="0" fontId="1" fillId="34" borderId="2" xfId="0" applyFont="1" applyFill="1" applyBorder="1" applyAlignment="1">
      <alignment wrapText="1"/>
    </xf>
    <xf numFmtId="8" fontId="1" fillId="34" borderId="2" xfId="0" applyNumberFormat="1" applyFont="1" applyFill="1" applyBorder="1" applyAlignment="1">
      <alignment horizontal="right" wrapText="1"/>
    </xf>
    <xf numFmtId="10" fontId="0" fillId="0" borderId="2" xfId="0" applyNumberFormat="1" applyBorder="1" applyAlignment="1">
      <alignment wrapText="1"/>
    </xf>
    <xf numFmtId="10" fontId="0" fillId="0" borderId="0" xfId="0" applyNumberFormat="1"/>
    <xf numFmtId="0" fontId="0" fillId="2" borderId="1" xfId="0" applyFill="1" applyBorder="1"/>
    <xf numFmtId="0" fontId="0" fillId="17" borderId="1" xfId="0" applyFill="1" applyBorder="1"/>
    <xf numFmtId="164" fontId="0" fillId="4" borderId="1" xfId="0" applyNumberFormat="1" applyFill="1" applyBorder="1"/>
    <xf numFmtId="14" fontId="0" fillId="4" borderId="1" xfId="0" applyNumberFormat="1" applyFill="1" applyBorder="1"/>
    <xf numFmtId="169" fontId="19" fillId="16" borderId="1" xfId="0" applyNumberFormat="1" applyFont="1" applyFill="1" applyBorder="1"/>
    <xf numFmtId="0" fontId="1" fillId="25" borderId="47" xfId="0" applyFont="1" applyFill="1" applyBorder="1" applyAlignment="1">
      <alignment horizontal="center" wrapText="1"/>
    </xf>
    <xf numFmtId="0" fontId="0" fillId="0" borderId="48" xfId="0" applyBorder="1"/>
    <xf numFmtId="3" fontId="0" fillId="0" borderId="0" xfId="0" applyNumberFormat="1"/>
    <xf numFmtId="14" fontId="0" fillId="0" borderId="0" xfId="0" applyNumberFormat="1" applyAlignment="1">
      <alignment horizontal="left"/>
    </xf>
    <xf numFmtId="0" fontId="2" fillId="0" borderId="0" xfId="0" applyFont="1" applyAlignment="1">
      <alignment horizontal="left" indent="28"/>
    </xf>
    <xf numFmtId="0" fontId="1" fillId="0" borderId="13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27" fillId="22" borderId="13" xfId="0" applyFont="1" applyFill="1" applyBorder="1" applyAlignment="1">
      <alignment horizontal="center" wrapText="1"/>
    </xf>
    <xf numFmtId="0" fontId="27" fillId="22" borderId="14" xfId="0" applyFont="1" applyFill="1" applyBorder="1" applyAlignment="1">
      <alignment horizont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wrapText="1"/>
    </xf>
    <xf numFmtId="0" fontId="26" fillId="0" borderId="4" xfId="0" applyFont="1" applyBorder="1" applyAlignment="1">
      <alignment horizontal="center" wrapText="1"/>
    </xf>
    <xf numFmtId="0" fontId="26" fillId="0" borderId="5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21" borderId="10" xfId="0" applyFill="1" applyBorder="1" applyAlignment="1">
      <alignment horizontal="center" wrapText="1"/>
    </xf>
    <xf numFmtId="0" fontId="0" fillId="21" borderId="11" xfId="0" applyFill="1" applyBorder="1" applyAlignment="1">
      <alignment horizontal="center" wrapText="1"/>
    </xf>
    <xf numFmtId="0" fontId="0" fillId="21" borderId="12" xfId="0" applyFill="1" applyBorder="1" applyAlignment="1">
      <alignment horizontal="center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27" fillId="22" borderId="15" xfId="0" applyFont="1" applyFill="1" applyBorder="1" applyAlignment="1">
      <alignment horizontal="center" wrapText="1"/>
    </xf>
    <xf numFmtId="0" fontId="27" fillId="22" borderId="13" xfId="0" applyFont="1" applyFill="1" applyBorder="1" applyAlignment="1">
      <alignment horizontal="center" vertical="center" wrapText="1"/>
    </xf>
    <xf numFmtId="0" fontId="27" fillId="22" borderId="14" xfId="0" applyFont="1" applyFill="1" applyBorder="1" applyAlignment="1">
      <alignment horizontal="center" vertical="center" wrapText="1"/>
    </xf>
    <xf numFmtId="0" fontId="1" fillId="23" borderId="13" xfId="0" applyFont="1" applyFill="1" applyBorder="1" applyAlignment="1">
      <alignment horizontal="center" wrapText="1"/>
    </xf>
    <xf numFmtId="0" fontId="1" fillId="23" borderId="15" xfId="0" applyFont="1" applyFill="1" applyBorder="1" applyAlignment="1">
      <alignment horizontal="center" wrapText="1"/>
    </xf>
    <xf numFmtId="0" fontId="1" fillId="23" borderId="14" xfId="0" applyFont="1" applyFill="1" applyBorder="1" applyAlignment="1">
      <alignment horizontal="center" wrapText="1"/>
    </xf>
    <xf numFmtId="0" fontId="30" fillId="0" borderId="3" xfId="0" applyFont="1" applyBorder="1" applyAlignment="1">
      <alignment horizontal="center" wrapText="1"/>
    </xf>
    <xf numFmtId="0" fontId="30" fillId="0" borderId="4" xfId="0" applyFont="1" applyBorder="1" applyAlignment="1">
      <alignment horizontal="center" wrapText="1"/>
    </xf>
    <xf numFmtId="0" fontId="30" fillId="0" borderId="5" xfId="0" applyFont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32" fillId="24" borderId="13" xfId="0" applyFont="1" applyFill="1" applyBorder="1" applyAlignment="1">
      <alignment horizontal="center" vertical="center" wrapText="1"/>
    </xf>
    <xf numFmtId="0" fontId="32" fillId="24" borderId="14" xfId="0" applyFont="1" applyFill="1" applyBorder="1" applyAlignment="1">
      <alignment horizontal="center" vertical="center" wrapText="1"/>
    </xf>
    <xf numFmtId="0" fontId="27" fillId="22" borderId="25" xfId="0" applyFont="1" applyFill="1" applyBorder="1" applyAlignment="1">
      <alignment horizontal="center" vertical="center" wrapText="1"/>
    </xf>
    <xf numFmtId="0" fontId="27" fillId="22" borderId="26" xfId="0" applyFont="1" applyFill="1" applyBorder="1" applyAlignment="1">
      <alignment horizontal="center" vertical="center" wrapText="1"/>
    </xf>
    <xf numFmtId="0" fontId="27" fillId="22" borderId="23" xfId="0" applyFont="1" applyFill="1" applyBorder="1" applyAlignment="1">
      <alignment horizontal="center" vertical="center" wrapText="1"/>
    </xf>
    <xf numFmtId="0" fontId="27" fillId="22" borderId="24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27" fillId="20" borderId="13" xfId="0" applyFont="1" applyFill="1" applyBorder="1" applyAlignment="1">
      <alignment horizontal="center" vertical="center" wrapText="1"/>
    </xf>
    <xf numFmtId="0" fontId="27" fillId="20" borderId="1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36" fillId="0" borderId="29" xfId="0" applyFont="1" applyBorder="1" applyAlignment="1">
      <alignment horizontal="center" wrapText="1"/>
    </xf>
    <xf numFmtId="0" fontId="36" fillId="0" borderId="30" xfId="0" applyFont="1" applyBorder="1" applyAlignment="1">
      <alignment horizontal="center" wrapText="1"/>
    </xf>
    <xf numFmtId="0" fontId="36" fillId="0" borderId="31" xfId="0" applyFont="1" applyBorder="1" applyAlignment="1">
      <alignment horizontal="center" wrapText="1"/>
    </xf>
    <xf numFmtId="0" fontId="39" fillId="0" borderId="3" xfId="0" applyFont="1" applyBorder="1" applyAlignment="1">
      <alignment horizontal="center" wrapText="1"/>
    </xf>
    <xf numFmtId="0" fontId="39" fillId="0" borderId="4" xfId="0" applyFont="1" applyBorder="1" applyAlignment="1">
      <alignment horizontal="center" wrapText="1"/>
    </xf>
    <xf numFmtId="0" fontId="39" fillId="0" borderId="5" xfId="0" applyFont="1" applyBorder="1" applyAlignment="1">
      <alignment horizontal="center" wrapText="1"/>
    </xf>
    <xf numFmtId="0" fontId="40" fillId="0" borderId="3" xfId="0" applyFont="1" applyBorder="1" applyAlignment="1">
      <alignment horizontal="center" wrapText="1"/>
    </xf>
    <xf numFmtId="0" fontId="40" fillId="0" borderId="4" xfId="0" applyFont="1" applyBorder="1" applyAlignment="1">
      <alignment horizontal="center" wrapText="1"/>
    </xf>
    <xf numFmtId="0" fontId="40" fillId="0" borderId="5" xfId="0" applyFont="1" applyBorder="1" applyAlignment="1">
      <alignment horizontal="center" wrapText="1"/>
    </xf>
  </cellXfs>
  <cellStyles count="1">
    <cellStyle name="Normal" xfId="0" builtinId="0"/>
  </cellStyles>
  <dxfs count="19"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1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man kumar acharya" refreshedDate="46018.574482523145" createdVersion="8" refreshedVersion="8" minRefreshableVersion="3" recordCount="18" xr:uid="{7F965852-DA85-4742-8BEB-2CC0577B611B}">
  <cacheSource type="worksheet">
    <worksheetSource ref="A5:C23" sheet="Sheet37"/>
  </cacheSource>
  <cacheFields count="3">
    <cacheField name="Date of Sale" numFmtId="0">
      <sharedItems containsDate="1" containsMixedTypes="1" minDate="2018-02-02T00:00:00" maxDate="2018-12-02T00:00:00" count="13">
        <s v="19/1/2018"/>
        <s v="16/1/2018"/>
        <s v="22/1/2018"/>
        <d v="2018-12-01T00:00:00"/>
        <d v="2018-05-02T00:00:00"/>
        <d v="2018-02-02T00:00:00"/>
        <s v="13/2/2018"/>
        <s v="15/2/2018"/>
        <d v="2018-09-02T00:00:00"/>
        <s v="22/2/2018"/>
        <s v="26/2/2018"/>
        <s v="27/2/2018"/>
        <s v="28/2/2018"/>
      </sharedItems>
    </cacheField>
    <cacheField name="Month" numFmtId="0">
      <sharedItems count="2">
        <s v="January"/>
        <s v="February"/>
      </sharedItems>
    </cacheField>
    <cacheField name="Sales Amt" numFmtId="3">
      <sharedItems containsSemiMixedTypes="0" containsString="0" containsNumber="1" containsInteger="1" minValue="15106" maxValue="5640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man kumar acharya" refreshedDate="46018.577021643519" createdVersion="8" refreshedVersion="8" minRefreshableVersion="3" recordCount="14" xr:uid="{11F76C08-C957-4E6D-976F-20C48B65E96E}">
  <cacheSource type="worksheet">
    <worksheetSource ref="A4:D18" sheet="Sheet39"/>
  </cacheSource>
  <cacheFields count="4">
    <cacheField name="Last Name" numFmtId="0">
      <sharedItems count="5">
        <s v="Smith"/>
        <s v="Johnson"/>
        <s v="Williams"/>
        <s v="Jones"/>
        <s v="Brown"/>
      </sharedItems>
    </cacheField>
    <cacheField name="Sales" numFmtId="8">
      <sharedItems containsSemiMixedTypes="0" containsString="0" containsNumber="1" containsInteger="1" minValue="1390" maxValue="19302"/>
    </cacheField>
    <cacheField name="Country" numFmtId="0">
      <sharedItems count="2">
        <s v="UK"/>
        <s v="USA"/>
      </sharedItems>
    </cacheField>
    <cacheField name="Quarter" numFmtId="0">
      <sharedItems count="4">
        <s v="Qtr 3"/>
        <s v="Qtr 4"/>
        <s v="Qtr 2"/>
        <s v="Qtr 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man kumar acharya" refreshedDate="46019.427295023146" createdVersion="8" refreshedVersion="8" minRefreshableVersion="3" recordCount="36" xr:uid="{A9C1DF81-9C9F-4CD1-A111-A9CB1ED726C7}">
  <cacheSource type="worksheet">
    <worksheetSource ref="A3:E39" sheet="Sheet14"/>
  </cacheSource>
  <cacheFields count="5">
    <cacheField name="Season" numFmtId="0">
      <sharedItems count="2">
        <s v="Fall"/>
        <s v="Spring"/>
      </sharedItems>
    </cacheField>
    <cacheField name="Year" numFmtId="1">
      <sharedItems containsSemiMixedTypes="0" containsString="0" containsNumber="1" containsInteger="1" minValue="1998" maxValue="1998"/>
    </cacheField>
    <cacheField name="Type" numFmtId="0">
      <sharedItems count="6">
        <s v="Amber Ale"/>
        <s v="Hefeweizen"/>
        <s v="Pale Ale"/>
        <s v="Pilsner"/>
        <s v="Porter"/>
        <s v="Stout"/>
      </sharedItems>
    </cacheField>
    <cacheField name="State" numFmtId="0">
      <sharedItems count="3">
        <s v="California"/>
        <s v="Oregon"/>
        <s v="Washington"/>
      </sharedItems>
    </cacheField>
    <cacheField name="Sales $" numFmtId="169">
      <sharedItems containsMixedTypes="1" containsNumber="1" containsInteger="1" minValue="220350" maxValue="606332" count="36">
        <s v="$5,54,536"/>
        <s v="$5,40,643"/>
        <s v="$5,77,548"/>
        <s v="$4,55,905"/>
        <s v="$4,90,871"/>
        <s v="$4,46,383"/>
        <s v="$4,57,726"/>
        <s v="$3,47,696"/>
        <s v="$3,84,541"/>
        <s v="$3,86,420"/>
        <s v="$3,70,970"/>
        <s v="$4,30,754"/>
        <s v="$5,00,847"/>
        <s v="$5,07,070"/>
        <s v="$4,82,346"/>
        <s v="$6,08,713"/>
        <s v="$1,50,000"/>
        <s v="$5,00,649"/>
        <n v="545780"/>
        <n v="440644"/>
        <n v="580359"/>
        <n v="536225"/>
        <n v="414908"/>
        <n v="377997"/>
        <s v="$3,31,289"/>
        <s v="$3,84,572"/>
        <s v="$3,65,813"/>
        <s v="$3,96,338"/>
        <s v="$4,53,761"/>
        <s v="$3,56,538"/>
        <n v="606332"/>
        <n v="535218"/>
        <n v="493364"/>
        <n v="559100"/>
        <n v="220350"/>
        <n v="47697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n v="201440"/>
  </r>
  <r>
    <x v="1"/>
    <x v="0"/>
    <n v="352519"/>
  </r>
  <r>
    <x v="2"/>
    <x v="0"/>
    <n v="172406"/>
  </r>
  <r>
    <x v="3"/>
    <x v="0"/>
    <n v="240000"/>
  </r>
  <r>
    <x v="4"/>
    <x v="1"/>
    <n v="15205"/>
  </r>
  <r>
    <x v="5"/>
    <x v="1"/>
    <n v="24327"/>
  </r>
  <r>
    <x v="6"/>
    <x v="1"/>
    <n v="50549"/>
  </r>
  <r>
    <x v="7"/>
    <x v="1"/>
    <n v="15106"/>
  </r>
  <r>
    <x v="7"/>
    <x v="1"/>
    <n v="19901"/>
  </r>
  <r>
    <x v="8"/>
    <x v="1"/>
    <n v="15205"/>
  </r>
  <r>
    <x v="9"/>
    <x v="1"/>
    <n v="300000"/>
  </r>
  <r>
    <x v="10"/>
    <x v="1"/>
    <n v="150000"/>
  </r>
  <r>
    <x v="10"/>
    <x v="1"/>
    <n v="330553"/>
  </r>
  <r>
    <x v="10"/>
    <x v="1"/>
    <n v="163282"/>
  </r>
  <r>
    <x v="11"/>
    <x v="1"/>
    <n v="564030"/>
  </r>
  <r>
    <x v="12"/>
    <x v="1"/>
    <n v="503599"/>
  </r>
  <r>
    <x v="12"/>
    <x v="1"/>
    <n v="15218"/>
  </r>
  <r>
    <x v="12"/>
    <x v="1"/>
    <n v="20144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n v="16753"/>
    <x v="0"/>
    <x v="0"/>
  </r>
  <r>
    <x v="1"/>
    <n v="14808"/>
    <x v="1"/>
    <x v="1"/>
  </r>
  <r>
    <x v="2"/>
    <n v="10644"/>
    <x v="0"/>
    <x v="2"/>
  </r>
  <r>
    <x v="3"/>
    <n v="1390"/>
    <x v="1"/>
    <x v="0"/>
  </r>
  <r>
    <x v="4"/>
    <n v="4865"/>
    <x v="1"/>
    <x v="1"/>
  </r>
  <r>
    <x v="2"/>
    <n v="12438"/>
    <x v="0"/>
    <x v="3"/>
  </r>
  <r>
    <x v="1"/>
    <n v="9339"/>
    <x v="0"/>
    <x v="2"/>
  </r>
  <r>
    <x v="0"/>
    <n v="18919"/>
    <x v="1"/>
    <x v="0"/>
  </r>
  <r>
    <x v="3"/>
    <n v="9213"/>
    <x v="1"/>
    <x v="1"/>
  </r>
  <r>
    <x v="3"/>
    <n v="7433"/>
    <x v="0"/>
    <x v="3"/>
  </r>
  <r>
    <x v="4"/>
    <n v="3255"/>
    <x v="1"/>
    <x v="2"/>
  </r>
  <r>
    <x v="2"/>
    <n v="14867"/>
    <x v="1"/>
    <x v="0"/>
  </r>
  <r>
    <x v="2"/>
    <n v="19302"/>
    <x v="0"/>
    <x v="1"/>
  </r>
  <r>
    <x v="0"/>
    <n v="9698"/>
    <x v="1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n v="1998"/>
    <x v="0"/>
    <x v="0"/>
    <x v="0"/>
  </r>
  <r>
    <x v="0"/>
    <n v="1998"/>
    <x v="1"/>
    <x v="0"/>
    <x v="1"/>
  </r>
  <r>
    <x v="0"/>
    <n v="1998"/>
    <x v="2"/>
    <x v="0"/>
    <x v="2"/>
  </r>
  <r>
    <x v="0"/>
    <n v="1998"/>
    <x v="3"/>
    <x v="0"/>
    <x v="3"/>
  </r>
  <r>
    <x v="0"/>
    <n v="1998"/>
    <x v="4"/>
    <x v="0"/>
    <x v="4"/>
  </r>
  <r>
    <x v="0"/>
    <n v="1998"/>
    <x v="5"/>
    <x v="0"/>
    <x v="5"/>
  </r>
  <r>
    <x v="0"/>
    <n v="1998"/>
    <x v="0"/>
    <x v="1"/>
    <x v="6"/>
  </r>
  <r>
    <x v="0"/>
    <n v="1998"/>
    <x v="1"/>
    <x v="1"/>
    <x v="7"/>
  </r>
  <r>
    <x v="0"/>
    <n v="1998"/>
    <x v="2"/>
    <x v="1"/>
    <x v="8"/>
  </r>
  <r>
    <x v="0"/>
    <n v="1998"/>
    <x v="3"/>
    <x v="1"/>
    <x v="9"/>
  </r>
  <r>
    <x v="0"/>
    <n v="1998"/>
    <x v="4"/>
    <x v="1"/>
    <x v="10"/>
  </r>
  <r>
    <x v="0"/>
    <n v="1998"/>
    <x v="5"/>
    <x v="1"/>
    <x v="11"/>
  </r>
  <r>
    <x v="0"/>
    <n v="1998"/>
    <x v="0"/>
    <x v="2"/>
    <x v="12"/>
  </r>
  <r>
    <x v="0"/>
    <n v="1998"/>
    <x v="1"/>
    <x v="2"/>
    <x v="13"/>
  </r>
  <r>
    <x v="0"/>
    <n v="1998"/>
    <x v="2"/>
    <x v="2"/>
    <x v="14"/>
  </r>
  <r>
    <x v="0"/>
    <n v="1998"/>
    <x v="3"/>
    <x v="2"/>
    <x v="15"/>
  </r>
  <r>
    <x v="0"/>
    <n v="1998"/>
    <x v="4"/>
    <x v="2"/>
    <x v="16"/>
  </r>
  <r>
    <x v="0"/>
    <n v="1998"/>
    <x v="5"/>
    <x v="2"/>
    <x v="17"/>
  </r>
  <r>
    <x v="1"/>
    <n v="1998"/>
    <x v="0"/>
    <x v="0"/>
    <x v="18"/>
  </r>
  <r>
    <x v="1"/>
    <n v="1998"/>
    <x v="1"/>
    <x v="0"/>
    <x v="19"/>
  </r>
  <r>
    <x v="1"/>
    <n v="1998"/>
    <x v="2"/>
    <x v="0"/>
    <x v="20"/>
  </r>
  <r>
    <x v="1"/>
    <n v="1998"/>
    <x v="3"/>
    <x v="0"/>
    <x v="21"/>
  </r>
  <r>
    <x v="1"/>
    <n v="1998"/>
    <x v="4"/>
    <x v="0"/>
    <x v="22"/>
  </r>
  <r>
    <x v="1"/>
    <n v="1998"/>
    <x v="5"/>
    <x v="0"/>
    <x v="23"/>
  </r>
  <r>
    <x v="1"/>
    <n v="1998"/>
    <x v="0"/>
    <x v="1"/>
    <x v="24"/>
  </r>
  <r>
    <x v="1"/>
    <n v="1998"/>
    <x v="1"/>
    <x v="1"/>
    <x v="25"/>
  </r>
  <r>
    <x v="1"/>
    <n v="1998"/>
    <x v="2"/>
    <x v="1"/>
    <x v="26"/>
  </r>
  <r>
    <x v="1"/>
    <n v="1998"/>
    <x v="3"/>
    <x v="1"/>
    <x v="27"/>
  </r>
  <r>
    <x v="1"/>
    <n v="1998"/>
    <x v="4"/>
    <x v="1"/>
    <x v="28"/>
  </r>
  <r>
    <x v="1"/>
    <n v="1998"/>
    <x v="5"/>
    <x v="1"/>
    <x v="29"/>
  </r>
  <r>
    <x v="1"/>
    <n v="1998"/>
    <x v="0"/>
    <x v="2"/>
    <x v="30"/>
  </r>
  <r>
    <x v="1"/>
    <n v="1998"/>
    <x v="1"/>
    <x v="2"/>
    <x v="31"/>
  </r>
  <r>
    <x v="1"/>
    <n v="1998"/>
    <x v="2"/>
    <x v="2"/>
    <x v="32"/>
  </r>
  <r>
    <x v="1"/>
    <n v="1998"/>
    <x v="3"/>
    <x v="2"/>
    <x v="33"/>
  </r>
  <r>
    <x v="1"/>
    <n v="1998"/>
    <x v="4"/>
    <x v="2"/>
    <x v="34"/>
  </r>
  <r>
    <x v="1"/>
    <n v="1998"/>
    <x v="5"/>
    <x v="2"/>
    <x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AF311F-2D67-49FE-AB82-4E0CE3AE833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">
  <location ref="C58:J66" firstHeaderRow="1" firstDataRow="2" firstDataCol="1" rowPageCount="2" colPageCount="1"/>
  <pivotFields count="5">
    <pivotField axis="axisPage" showAll="0">
      <items count="3">
        <item x="0"/>
        <item x="1"/>
        <item t="default"/>
      </items>
    </pivotField>
    <pivotField numFmtId="1"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dataField="1" showAll="0">
      <items count="37">
        <item x="34"/>
        <item x="23"/>
        <item x="22"/>
        <item x="19"/>
        <item x="35"/>
        <item x="32"/>
        <item x="31"/>
        <item x="21"/>
        <item x="18"/>
        <item x="33"/>
        <item x="20"/>
        <item x="30"/>
        <item x="16"/>
        <item x="24"/>
        <item x="7"/>
        <item x="29"/>
        <item x="26"/>
        <item x="10"/>
        <item x="8"/>
        <item x="25"/>
        <item x="9"/>
        <item x="27"/>
        <item x="11"/>
        <item x="5"/>
        <item x="28"/>
        <item x="3"/>
        <item x="6"/>
        <item x="14"/>
        <item x="4"/>
        <item x="17"/>
        <item x="12"/>
        <item x="13"/>
        <item x="1"/>
        <item x="0"/>
        <item x="2"/>
        <item x="15"/>
        <item t="default"/>
      </items>
    </pivotField>
  </pivotFields>
  <rowFields count="1">
    <field x="4"/>
  </rowFields>
  <rowItems count="7">
    <i>
      <x v="14"/>
    </i>
    <i>
      <x v="17"/>
    </i>
    <i>
      <x v="18"/>
    </i>
    <i>
      <x v="20"/>
    </i>
    <i>
      <x v="22"/>
    </i>
    <i>
      <x v="26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2">
    <pageField fld="3" item="1" hier="-1"/>
    <pageField fld="0" item="0" hier="-1"/>
  </pageFields>
  <dataFields count="1">
    <dataField name="Count of Sales $" fld="4" subtotal="count" baseField="0" baseItem="0"/>
  </dataFields>
  <formats count="6">
    <format dxfId="18">
      <pivotArea outline="0" collapsedLevelsAreSubtotals="1" fieldPosition="0"/>
    </format>
    <format dxfId="17">
      <pivotArea field="4" type="button" dataOnly="0" labelOnly="1" outline="0" axis="axisRow" fieldPosition="0"/>
    </format>
    <format dxfId="16">
      <pivotArea dataOnly="0" labelOnly="1" fieldPosition="0">
        <references count="1">
          <reference field="4" count="12">
            <x v="1"/>
            <x v="2"/>
            <x v="3"/>
            <x v="7"/>
            <x v="8"/>
            <x v="10"/>
            <x v="23"/>
            <x v="25"/>
            <x v="28"/>
            <x v="32"/>
            <x v="33"/>
            <x v="34"/>
          </reference>
        </references>
      </pivotArea>
    </format>
    <format dxfId="15">
      <pivotArea dataOnly="0" labelOnly="1" grandRow="1" outline="0" fieldPosition="0"/>
    </format>
    <format dxfId="14">
      <pivotArea dataOnly="0" labelOnly="1" fieldPosition="0">
        <references count="1">
          <reference field="2" count="0"/>
        </references>
      </pivotArea>
    </format>
    <format dxfId="1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8F7069-574E-4CCA-87D5-1279FF70D51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7:P21" firstHeaderRow="1" firstDataRow="1" firstDataCol="1" rowPageCount="1" colPageCount="1"/>
  <pivotFields count="3">
    <pivotField axis="axisRow" showAll="0">
      <items count="14">
        <item x="6"/>
        <item x="7"/>
        <item x="1"/>
        <item x="0"/>
        <item x="2"/>
        <item x="9"/>
        <item x="10"/>
        <item x="11"/>
        <item x="12"/>
        <item x="5"/>
        <item x="4"/>
        <item x="8"/>
        <item x="3"/>
        <item t="default"/>
      </items>
    </pivotField>
    <pivotField axis="axisPage" showAll="0">
      <items count="3">
        <item x="0"/>
        <item x="1"/>
        <item t="default"/>
      </items>
    </pivotField>
    <pivotField dataField="1" numFmtId="3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" hier="-1"/>
  </pageFields>
  <dataFields count="1">
    <dataField name="Sum of Sales Amt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61CC0F-3365-4744-9034-E31194E9BDD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7:L17" firstHeaderRow="1" firstDataRow="1" firstDataCol="1" rowPageCount="1" colPageCount="1"/>
  <pivotFields count="3">
    <pivotField axis="axisRow" showAll="0" sortType="ascending">
      <items count="14">
        <item x="6"/>
        <item x="7"/>
        <item x="1"/>
        <item x="0"/>
        <item x="2"/>
        <item x="9"/>
        <item x="10"/>
        <item x="11"/>
        <item x="12"/>
        <item x="5"/>
        <item x="4"/>
        <item x="8"/>
        <item x="3"/>
        <item t="default"/>
      </items>
    </pivotField>
    <pivotField axis="axisPage" showAll="0">
      <items count="3">
        <item x="0"/>
        <item x="1"/>
        <item t="default"/>
      </items>
    </pivotField>
    <pivotField dataField="1" numFmtId="3" showAll="0"/>
  </pivotFields>
  <rowFields count="1">
    <field x="0"/>
  </rowFields>
  <rowItems count="10">
    <i>
      <x/>
    </i>
    <i>
      <x v="1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" item="1" hier="-1"/>
  </pageFields>
  <dataFields count="1">
    <dataField name="Sum of Sales Amt" fld="2" baseField="0" baseItem="0" numFmtId="3"/>
  </dataFields>
  <formats count="6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0" type="button" dataOnly="0" labelOnly="1" outline="0" axis="axisRow" fieldPosition="0"/>
    </format>
    <format dxfId="9">
      <pivotArea dataOnly="0" labelOnly="1" fieldPosition="0">
        <references count="1">
          <reference field="0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953DB-75BA-4134-961F-58ADDBDABF44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4:N10" firstHeaderRow="1" firstDataRow="1" firstDataCol="1"/>
  <pivotFields count="4">
    <pivotField axis="axisRow" showAll="0">
      <items count="6">
        <item x="4"/>
        <item x="1"/>
        <item x="3"/>
        <item x="0"/>
        <item x="2"/>
        <item t="default"/>
      </items>
    </pivotField>
    <pivotField dataField="1" numFmtId="8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" baseField="0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722A26-2FEC-41AC-8A1A-F35E54CAE6B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ast Name">
  <location ref="J4:K9" firstHeaderRow="1" firstDataRow="1" firstDataCol="1" rowPageCount="1" colPageCount="1"/>
  <pivotFields count="4">
    <pivotField axis="axisRow" showAll="0">
      <items count="6">
        <item x="4"/>
        <item x="1"/>
        <item x="3"/>
        <item x="0"/>
        <item x="2"/>
        <item t="default"/>
      </items>
    </pivotField>
    <pivotField dataField="1" numFmtId="8" showAll="0"/>
    <pivotField axis="axisPage" showAll="0">
      <items count="3">
        <item x="0"/>
        <item x="1"/>
        <item t="default"/>
      </items>
    </pivotField>
    <pivotField showAll="0">
      <items count="5">
        <item x="3"/>
        <item x="2"/>
        <item x="0"/>
        <item x="1"/>
        <item t="default"/>
      </items>
    </pivotField>
  </pivotFields>
  <rowFields count="1">
    <field x="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item="0" hier="-1"/>
  </pageFields>
  <dataFields count="1">
    <dataField name="Sum of Sales" fld="1" baseField="0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D8385-61D6-4488-A740-F8CBB04A67CD}">
  <dimension ref="A1:J23"/>
  <sheetViews>
    <sheetView workbookViewId="0">
      <selection activeCell="J12" sqref="J12"/>
    </sheetView>
  </sheetViews>
  <sheetFormatPr defaultRowHeight="15"/>
  <cols>
    <col min="2" max="2" width="13.85546875" bestFit="1" customWidth="1"/>
    <col min="3" max="3" width="11" customWidth="1"/>
    <col min="4" max="4" width="11.7109375" customWidth="1"/>
    <col min="5" max="5" width="10.28515625" customWidth="1"/>
    <col min="6" max="6" width="10.7109375" customWidth="1"/>
    <col min="7" max="7" width="10" bestFit="1" customWidth="1"/>
    <col min="8" max="8" width="11.140625" customWidth="1"/>
    <col min="9" max="9" width="9.7109375" customWidth="1"/>
    <col min="10" max="10" width="10.28515625" customWidth="1"/>
  </cols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1</v>
      </c>
      <c r="B2" s="2" t="s">
        <v>10</v>
      </c>
      <c r="C2" s="2">
        <v>20</v>
      </c>
      <c r="D2" s="2">
        <v>10</v>
      </c>
      <c r="E2" s="2">
        <v>14</v>
      </c>
      <c r="F2" s="2">
        <v>18</v>
      </c>
      <c r="G2" s="2">
        <v>15</v>
      </c>
      <c r="H2" s="2">
        <f>SUM(C2:G2)</f>
        <v>77</v>
      </c>
      <c r="I2" s="2">
        <f>AVERAGE(C2:G2)</f>
        <v>15.4</v>
      </c>
      <c r="J2" s="2" t="str">
        <f>IF(I2&gt;15,"A","B")</f>
        <v>A</v>
      </c>
    </row>
    <row r="3" spans="1:10">
      <c r="A3" s="2">
        <v>2</v>
      </c>
      <c r="B3" s="2" t="s">
        <v>11</v>
      </c>
      <c r="C3" s="2">
        <v>21</v>
      </c>
      <c r="D3" s="2">
        <v>12</v>
      </c>
      <c r="E3" s="2">
        <v>14</v>
      </c>
      <c r="F3" s="2">
        <v>12</v>
      </c>
      <c r="G3" s="2">
        <v>18</v>
      </c>
      <c r="H3" s="2">
        <f t="shared" ref="H3:H11" si="0">SUM(C3:G3)</f>
        <v>77</v>
      </c>
      <c r="I3" s="2">
        <f t="shared" ref="I3:I11" si="1">AVERAGE(H3/5)</f>
        <v>15.4</v>
      </c>
      <c r="J3" s="2" t="str">
        <f t="shared" ref="J3:J10" si="2">IF(I3&gt;15,"A","B")</f>
        <v>A</v>
      </c>
    </row>
    <row r="4" spans="1:10">
      <c r="A4" s="2">
        <v>3</v>
      </c>
      <c r="B4" s="2" t="s">
        <v>12</v>
      </c>
      <c r="C4" s="2">
        <v>33</v>
      </c>
      <c r="D4" s="2">
        <v>15</v>
      </c>
      <c r="E4" s="2">
        <v>7</v>
      </c>
      <c r="F4" s="2">
        <v>14</v>
      </c>
      <c r="G4" s="2">
        <v>17</v>
      </c>
      <c r="H4" s="2">
        <f t="shared" si="0"/>
        <v>86</v>
      </c>
      <c r="I4" s="2">
        <f t="shared" si="1"/>
        <v>17.2</v>
      </c>
      <c r="J4" s="2" t="str">
        <f t="shared" si="2"/>
        <v>A</v>
      </c>
    </row>
    <row r="5" spans="1:10">
      <c r="A5" s="2">
        <v>4</v>
      </c>
      <c r="B5" s="2" t="s">
        <v>13</v>
      </c>
      <c r="C5" s="2">
        <v>15</v>
      </c>
      <c r="D5" s="2">
        <v>14</v>
      </c>
      <c r="E5" s="2">
        <v>8</v>
      </c>
      <c r="F5" s="2">
        <v>16</v>
      </c>
      <c r="G5" s="2">
        <v>20</v>
      </c>
      <c r="H5" s="2">
        <f t="shared" si="0"/>
        <v>73</v>
      </c>
      <c r="I5" s="2">
        <f t="shared" si="1"/>
        <v>14.6</v>
      </c>
      <c r="J5" s="2" t="str">
        <f t="shared" si="2"/>
        <v>B</v>
      </c>
    </row>
    <row r="6" spans="1:10">
      <c r="A6" s="2">
        <v>5</v>
      </c>
      <c r="B6" s="2" t="s">
        <v>14</v>
      </c>
      <c r="C6" s="2">
        <v>14</v>
      </c>
      <c r="D6" s="2">
        <v>17</v>
      </c>
      <c r="E6" s="2">
        <v>10</v>
      </c>
      <c r="F6" s="2">
        <v>13</v>
      </c>
      <c r="G6" s="2">
        <v>18</v>
      </c>
      <c r="H6" s="2">
        <f t="shared" si="0"/>
        <v>72</v>
      </c>
      <c r="I6" s="2">
        <f t="shared" si="1"/>
        <v>14.4</v>
      </c>
      <c r="J6" s="2" t="str">
        <f>IF(I6&gt;15,"A","B")</f>
        <v>B</v>
      </c>
    </row>
    <row r="7" spans="1:10">
      <c r="A7" s="2">
        <v>6</v>
      </c>
      <c r="B7" s="2" t="s">
        <v>15</v>
      </c>
      <c r="C7" s="2">
        <v>16</v>
      </c>
      <c r="D7" s="2">
        <v>8</v>
      </c>
      <c r="E7" s="2">
        <v>20</v>
      </c>
      <c r="F7" s="2">
        <v>17</v>
      </c>
      <c r="G7" s="2">
        <v>25</v>
      </c>
      <c r="H7" s="2">
        <f t="shared" si="0"/>
        <v>86</v>
      </c>
      <c r="I7" s="2">
        <f t="shared" si="1"/>
        <v>17.2</v>
      </c>
      <c r="J7" s="2" t="str">
        <f t="shared" si="2"/>
        <v>A</v>
      </c>
    </row>
    <row r="8" spans="1:10">
      <c r="A8" s="2">
        <v>7</v>
      </c>
      <c r="B8" s="2" t="s">
        <v>16</v>
      </c>
      <c r="C8" s="2">
        <v>18</v>
      </c>
      <c r="D8" s="2">
        <v>19</v>
      </c>
      <c r="E8" s="2">
        <v>3</v>
      </c>
      <c r="F8" s="2">
        <v>10</v>
      </c>
      <c r="G8" s="2">
        <v>14</v>
      </c>
      <c r="H8" s="2">
        <f t="shared" si="0"/>
        <v>64</v>
      </c>
      <c r="I8" s="2">
        <f t="shared" si="1"/>
        <v>12.8</v>
      </c>
      <c r="J8" s="2" t="str">
        <f t="shared" si="2"/>
        <v>B</v>
      </c>
    </row>
    <row r="9" spans="1:10">
      <c r="A9" s="2">
        <v>8</v>
      </c>
      <c r="B9" s="2" t="s">
        <v>17</v>
      </c>
      <c r="C9" s="2">
        <v>19</v>
      </c>
      <c r="D9" s="2">
        <v>20</v>
      </c>
      <c r="E9" s="2">
        <v>7</v>
      </c>
      <c r="F9" s="2">
        <v>14</v>
      </c>
      <c r="G9" s="2">
        <v>18</v>
      </c>
      <c r="H9" s="2">
        <f t="shared" si="0"/>
        <v>78</v>
      </c>
      <c r="I9" s="2">
        <f t="shared" si="1"/>
        <v>15.6</v>
      </c>
      <c r="J9" s="2" t="str">
        <f t="shared" si="2"/>
        <v>A</v>
      </c>
    </row>
    <row r="10" spans="1:10">
      <c r="A10" s="2">
        <v>9</v>
      </c>
      <c r="B10" s="2" t="s">
        <v>18</v>
      </c>
      <c r="C10" s="2">
        <v>22</v>
      </c>
      <c r="D10" s="2">
        <v>13</v>
      </c>
      <c r="E10" s="2">
        <v>8</v>
      </c>
      <c r="F10" s="2">
        <v>12</v>
      </c>
      <c r="G10" s="2">
        <v>19</v>
      </c>
      <c r="H10" s="2">
        <f t="shared" si="0"/>
        <v>74</v>
      </c>
      <c r="I10" s="2">
        <f t="shared" si="1"/>
        <v>14.8</v>
      </c>
      <c r="J10" s="2" t="str">
        <f t="shared" si="2"/>
        <v>B</v>
      </c>
    </row>
    <row r="11" spans="1:10">
      <c r="A11" s="2">
        <v>10</v>
      </c>
      <c r="B11" s="2" t="s">
        <v>19</v>
      </c>
      <c r="C11" s="2">
        <v>26</v>
      </c>
      <c r="D11" s="2">
        <v>12</v>
      </c>
      <c r="E11" s="2">
        <v>10</v>
      </c>
      <c r="F11" s="2">
        <v>11</v>
      </c>
      <c r="G11" s="2">
        <v>27</v>
      </c>
      <c r="H11" s="2">
        <f t="shared" si="0"/>
        <v>86</v>
      </c>
      <c r="I11" s="2">
        <f t="shared" si="1"/>
        <v>17.2</v>
      </c>
      <c r="J11" s="2" t="str">
        <f>IF(I11&gt;15,"A","B")</f>
        <v>A</v>
      </c>
    </row>
    <row r="14" spans="1:10">
      <c r="B14" t="s">
        <v>20</v>
      </c>
      <c r="D14">
        <f>COUNTIF(J2:J11,"=A")</f>
        <v>6</v>
      </c>
    </row>
    <row r="15" spans="1:10">
      <c r="B15" t="s">
        <v>21</v>
      </c>
      <c r="D15">
        <f>COUNTIF(J2:J11,"B")</f>
        <v>4</v>
      </c>
    </row>
    <row r="17" spans="2:4">
      <c r="C17" t="s">
        <v>6</v>
      </c>
      <c r="D17" t="s">
        <v>7</v>
      </c>
    </row>
    <row r="18" spans="2:4">
      <c r="B18" t="s">
        <v>11</v>
      </c>
      <c r="C18">
        <f>SUMIF(B2:B11,B3,H2:H11)</f>
        <v>77</v>
      </c>
      <c r="D18">
        <f>SUMIF(B2:B11,"Ashok",I2:I11)</f>
        <v>15.4</v>
      </c>
    </row>
    <row r="19" spans="2:4">
      <c r="B19" t="s">
        <v>12</v>
      </c>
      <c r="C19">
        <f>SUMIF(B2:B11,"Manoj",H2:H11)</f>
        <v>86</v>
      </c>
      <c r="D19">
        <f>SUMIF(B2:B11,"Manoj",I2:I11)</f>
        <v>17.2</v>
      </c>
    </row>
    <row r="21" spans="2:4">
      <c r="B21" t="s">
        <v>22</v>
      </c>
      <c r="C21">
        <f>COUNTA(B2:B11)</f>
        <v>10</v>
      </c>
    </row>
    <row r="23" spans="2:4">
      <c r="B23" t="s">
        <v>23</v>
      </c>
      <c r="C23">
        <f>COUNTIFS(C2:C11,"&gt;15",C2:C11,"&lt;20",D2:D11,"&gt;15",D2:D11,"&lt;20")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5961C-F98D-490D-8A4E-5D3B1183BC1D}">
  <dimension ref="A1:N11"/>
  <sheetViews>
    <sheetView workbookViewId="0">
      <selection activeCell="M5" sqref="M5"/>
    </sheetView>
  </sheetViews>
  <sheetFormatPr defaultRowHeight="15"/>
  <cols>
    <col min="2" max="2" width="14.5703125" customWidth="1"/>
    <col min="3" max="3" width="16.28515625" customWidth="1"/>
    <col min="4" max="4" width="15.5703125" customWidth="1"/>
    <col min="5" max="5" width="14.85546875" customWidth="1"/>
    <col min="6" max="6" width="13" customWidth="1"/>
  </cols>
  <sheetData>
    <row r="1" spans="1:14">
      <c r="A1" s="3" t="s">
        <v>24</v>
      </c>
      <c r="B1" s="3" t="s">
        <v>26</v>
      </c>
      <c r="C1" s="3" t="s">
        <v>25</v>
      </c>
      <c r="D1" s="3" t="s">
        <v>27</v>
      </c>
      <c r="E1" s="3" t="s">
        <v>28</v>
      </c>
      <c r="F1" s="3" t="s">
        <v>29</v>
      </c>
    </row>
    <row r="2" spans="1:14">
      <c r="A2" s="2">
        <v>1</v>
      </c>
      <c r="B2" s="2" t="s">
        <v>30</v>
      </c>
      <c r="C2" s="2">
        <v>20</v>
      </c>
      <c r="D2" s="2">
        <v>30000</v>
      </c>
      <c r="E2" s="2">
        <f>C2*D2</f>
        <v>600000</v>
      </c>
      <c r="F2" s="2" t="str">
        <f>IF(E2&gt;50000,"EXPENSIVE","LET'S BUY IT")</f>
        <v>EXPENSIVE</v>
      </c>
      <c r="H2" t="s">
        <v>40</v>
      </c>
      <c r="J2">
        <f>COUNTA(B2:B11)</f>
        <v>10</v>
      </c>
    </row>
    <row r="3" spans="1:14">
      <c r="A3" s="2">
        <v>2</v>
      </c>
      <c r="B3" s="2" t="s">
        <v>31</v>
      </c>
      <c r="C3" s="2">
        <v>35</v>
      </c>
      <c r="D3" s="2">
        <v>20000</v>
      </c>
      <c r="E3" s="2">
        <f t="shared" ref="E3:E11" si="0">C3*D3</f>
        <v>700000</v>
      </c>
      <c r="F3" s="2" t="str">
        <f t="shared" ref="F3:F11" si="1">IF(E3&gt;50000,"EXPENSIVE","LET'S BUY IT")</f>
        <v>EXPENSIVE</v>
      </c>
    </row>
    <row r="4" spans="1:14">
      <c r="A4" s="2">
        <v>3</v>
      </c>
      <c r="B4" s="2" t="s">
        <v>32</v>
      </c>
      <c r="C4" s="2">
        <v>25</v>
      </c>
      <c r="D4" s="2">
        <v>20000</v>
      </c>
      <c r="E4" s="2">
        <f t="shared" si="0"/>
        <v>500000</v>
      </c>
      <c r="F4" s="2" t="str">
        <f t="shared" si="1"/>
        <v>EXPENSIVE</v>
      </c>
      <c r="H4" t="s">
        <v>41</v>
      </c>
      <c r="M4">
        <f>COUNTIFS(C2:C11,"&gt;10",C2:C11,"&lt;20")</f>
        <v>5</v>
      </c>
      <c r="N4">
        <f>COUNTIFS(C2:C11,"&gt;10",C2:C11,"&lt;20")</f>
        <v>5</v>
      </c>
    </row>
    <row r="5" spans="1:14" ht="30">
      <c r="A5" s="2">
        <v>4</v>
      </c>
      <c r="B5" s="4" t="s">
        <v>33</v>
      </c>
      <c r="C5" s="2">
        <v>34</v>
      </c>
      <c r="D5" s="2">
        <v>15000</v>
      </c>
      <c r="E5" s="2">
        <f t="shared" si="0"/>
        <v>510000</v>
      </c>
      <c r="F5" s="2" t="str">
        <f t="shared" si="1"/>
        <v>EXPENSIVE</v>
      </c>
      <c r="I5" t="s">
        <v>25</v>
      </c>
      <c r="J5" t="s">
        <v>43</v>
      </c>
      <c r="K5" t="s">
        <v>44</v>
      </c>
    </row>
    <row r="6" spans="1:14">
      <c r="A6" s="2">
        <v>5</v>
      </c>
      <c r="B6" s="2" t="s">
        <v>34</v>
      </c>
      <c r="C6" s="2">
        <v>18</v>
      </c>
      <c r="D6" s="2">
        <v>20000</v>
      </c>
      <c r="E6" s="2">
        <f t="shared" si="0"/>
        <v>360000</v>
      </c>
      <c r="F6" s="2" t="str">
        <f t="shared" si="1"/>
        <v>EXPENSIVE</v>
      </c>
      <c r="H6" t="s">
        <v>42</v>
      </c>
      <c r="I6">
        <f>SUMIF(B2:B11,"Computer",C2:C11)</f>
        <v>15</v>
      </c>
      <c r="J6">
        <f>SUMIF(B2:B11,"Computer",D2:D11)</f>
        <v>25000</v>
      </c>
      <c r="K6">
        <f>SUMIF(B2:B11,"Computer",E2:E11)</f>
        <v>375000</v>
      </c>
    </row>
    <row r="7" spans="1:14">
      <c r="A7" s="2">
        <v>6</v>
      </c>
      <c r="B7" s="2" t="s">
        <v>35</v>
      </c>
      <c r="C7" s="2">
        <v>17</v>
      </c>
      <c r="D7" s="2">
        <v>3000</v>
      </c>
      <c r="E7" s="2">
        <f t="shared" si="0"/>
        <v>51000</v>
      </c>
      <c r="F7" s="2" t="str">
        <f t="shared" si="1"/>
        <v>EXPENSIVE</v>
      </c>
      <c r="I7">
        <f>SUMIF(B2:B11,"COMPUTER",C2:C11)</f>
        <v>15</v>
      </c>
    </row>
    <row r="8" spans="1:14">
      <c r="A8" s="2">
        <v>7</v>
      </c>
      <c r="B8" s="2" t="s">
        <v>36</v>
      </c>
      <c r="C8" s="2">
        <v>15</v>
      </c>
      <c r="D8" s="2">
        <v>25000</v>
      </c>
      <c r="E8" s="2">
        <f t="shared" si="0"/>
        <v>375000</v>
      </c>
      <c r="F8" s="2" t="str">
        <f t="shared" si="1"/>
        <v>EXPENSIVE</v>
      </c>
    </row>
    <row r="9" spans="1:14">
      <c r="A9" s="2">
        <v>8</v>
      </c>
      <c r="B9" s="2" t="s">
        <v>37</v>
      </c>
      <c r="C9" s="2">
        <v>15</v>
      </c>
      <c r="D9" s="2">
        <v>2050</v>
      </c>
      <c r="E9" s="2">
        <f t="shared" si="0"/>
        <v>30750</v>
      </c>
      <c r="F9" s="2" t="str">
        <f t="shared" si="1"/>
        <v>LET'S BUY IT</v>
      </c>
    </row>
    <row r="10" spans="1:14">
      <c r="A10" s="2">
        <v>9</v>
      </c>
      <c r="B10" s="2" t="s">
        <v>38</v>
      </c>
      <c r="C10" s="2">
        <v>15</v>
      </c>
      <c r="D10" s="2">
        <v>1000</v>
      </c>
      <c r="E10" s="2">
        <f t="shared" si="0"/>
        <v>15000</v>
      </c>
      <c r="F10" s="2" t="str">
        <f t="shared" si="1"/>
        <v>LET'S BUY IT</v>
      </c>
    </row>
    <row r="11" spans="1:14">
      <c r="A11" s="2">
        <v>10</v>
      </c>
      <c r="B11" s="2" t="s">
        <v>39</v>
      </c>
      <c r="C11" s="2">
        <v>10</v>
      </c>
      <c r="D11" s="2">
        <v>12000</v>
      </c>
      <c r="E11" s="2">
        <f t="shared" si="0"/>
        <v>120000</v>
      </c>
      <c r="F11" s="2" t="str">
        <f t="shared" si="1"/>
        <v>EXPENSIVE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2640F-BAE1-472B-98E8-899C965D0989}">
  <dimension ref="A1:N23"/>
  <sheetViews>
    <sheetView workbookViewId="0">
      <selection activeCell="K2" sqref="K2"/>
    </sheetView>
  </sheetViews>
  <sheetFormatPr defaultRowHeight="15"/>
  <cols>
    <col min="1" max="1" width="11.7109375" customWidth="1"/>
    <col min="2" max="2" width="24" customWidth="1"/>
    <col min="3" max="3" width="19" customWidth="1"/>
    <col min="4" max="4" width="13" customWidth="1"/>
    <col min="8" max="8" width="13.7109375" customWidth="1"/>
    <col min="9" max="9" width="11.28515625" customWidth="1"/>
  </cols>
  <sheetData>
    <row r="1" spans="1:14" ht="24.75">
      <c r="A1" s="250"/>
      <c r="B1" s="250"/>
      <c r="C1" s="12" t="s">
        <v>70</v>
      </c>
      <c r="D1" s="9"/>
    </row>
    <row r="2" spans="1:14" ht="18.75">
      <c r="A2" s="8"/>
      <c r="B2" s="10" t="s">
        <v>48</v>
      </c>
      <c r="C2" s="10"/>
      <c r="D2" s="10"/>
      <c r="E2" s="11"/>
      <c r="K2" t="s">
        <v>1013</v>
      </c>
    </row>
    <row r="3" spans="1:14">
      <c r="A3" s="7" t="s">
        <v>59</v>
      </c>
      <c r="B3" s="7" t="s">
        <v>58</v>
      </c>
      <c r="C3" s="7" t="s">
        <v>62</v>
      </c>
      <c r="D3" s="7" t="s">
        <v>69</v>
      </c>
      <c r="E3" s="7" t="s">
        <v>50</v>
      </c>
      <c r="F3" s="7" t="s">
        <v>51</v>
      </c>
      <c r="G3" s="7" t="s">
        <v>52</v>
      </c>
      <c r="H3" s="7" t="s">
        <v>6</v>
      </c>
      <c r="I3" s="7" t="s">
        <v>8</v>
      </c>
      <c r="J3" s="241" t="s">
        <v>1010</v>
      </c>
      <c r="K3" s="241" t="s">
        <v>1011</v>
      </c>
      <c r="L3" s="241" t="s">
        <v>1012</v>
      </c>
      <c r="M3" s="241" t="s">
        <v>148</v>
      </c>
      <c r="N3" s="241" t="s">
        <v>29</v>
      </c>
    </row>
    <row r="4" spans="1:14">
      <c r="A4" s="13" t="s">
        <v>10</v>
      </c>
      <c r="B4" s="13" t="s">
        <v>36</v>
      </c>
      <c r="C4" s="13" t="s">
        <v>63</v>
      </c>
      <c r="D4" s="13">
        <v>5000</v>
      </c>
      <c r="E4" s="13">
        <f t="shared" ref="E4:E11" si="0">D4*0.025</f>
        <v>125</v>
      </c>
      <c r="F4" s="13">
        <f t="shared" ref="F4:F11" si="1">D4*0.035</f>
        <v>175.00000000000003</v>
      </c>
      <c r="G4" s="13">
        <f t="shared" ref="G4:G11" si="2">F4-E4</f>
        <v>50.000000000000028</v>
      </c>
      <c r="H4" s="13">
        <f t="shared" ref="H4:H11" si="3">SUM(D4:F4)-G4</f>
        <v>5250</v>
      </c>
      <c r="I4" s="13" t="str">
        <f>IF(H4&gt;20000,"A",IF(H4&gt;15000,"B",IF(H4&gt;10000,"C","D")))</f>
        <v>D</v>
      </c>
      <c r="J4" s="2">
        <f>D4*0.025</f>
        <v>125</v>
      </c>
      <c r="K4" s="2">
        <f>D4*0.035</f>
        <v>175.00000000000003</v>
      </c>
      <c r="L4" s="2">
        <f>K4-J4</f>
        <v>50.000000000000028</v>
      </c>
      <c r="M4" s="2">
        <f>D4+E4+F4-G4</f>
        <v>5250</v>
      </c>
      <c r="N4" s="2" t="str">
        <f>IF(M4&gt;20000,"A",IF(M4&gt;15000,"B",IF(M4&gt;10000,"C","D")))</f>
        <v>D</v>
      </c>
    </row>
    <row r="5" spans="1:14">
      <c r="A5" s="13" t="s">
        <v>53</v>
      </c>
      <c r="B5" s="13" t="s">
        <v>36</v>
      </c>
      <c r="C5" s="13" t="s">
        <v>64</v>
      </c>
      <c r="D5" s="13">
        <v>8000</v>
      </c>
      <c r="E5" s="13">
        <f t="shared" si="0"/>
        <v>200</v>
      </c>
      <c r="F5" s="13">
        <f t="shared" si="1"/>
        <v>280</v>
      </c>
      <c r="G5" s="13">
        <f t="shared" si="2"/>
        <v>80</v>
      </c>
      <c r="H5" s="13">
        <f t="shared" si="3"/>
        <v>8400</v>
      </c>
      <c r="I5" s="13" t="str">
        <f t="shared" ref="I5:I9" si="4">IF(H5&gt;20000,"A",IF(H5&gt;15000,"B",IF(H5&gt;10000,"C","D")))</f>
        <v>D</v>
      </c>
      <c r="J5" s="2">
        <f>D5*0.025</f>
        <v>200</v>
      </c>
      <c r="K5" s="2">
        <f>D5*0.035</f>
        <v>280</v>
      </c>
      <c r="L5" s="2">
        <f>K5-J5</f>
        <v>80</v>
      </c>
      <c r="M5" s="2">
        <f t="shared" ref="M5:M11" si="5">D5+E5+F5-G5</f>
        <v>8400</v>
      </c>
      <c r="N5" s="2" t="str">
        <f t="shared" ref="N5:N11" si="6">IF(M5&gt;20000,"A",IF(M5&gt;15000,"B",IF(M5&gt;10000,"C","D")))</f>
        <v>D</v>
      </c>
    </row>
    <row r="6" spans="1:14">
      <c r="A6" s="13" t="s">
        <v>12</v>
      </c>
      <c r="B6" s="13" t="s">
        <v>60</v>
      </c>
      <c r="C6" s="13" t="s">
        <v>63</v>
      </c>
      <c r="D6" s="13">
        <v>3000</v>
      </c>
      <c r="E6" s="13">
        <f t="shared" si="0"/>
        <v>75</v>
      </c>
      <c r="F6" s="13">
        <f t="shared" si="1"/>
        <v>105.00000000000001</v>
      </c>
      <c r="G6" s="13">
        <f t="shared" si="2"/>
        <v>30.000000000000014</v>
      </c>
      <c r="H6" s="13">
        <f t="shared" si="3"/>
        <v>3150</v>
      </c>
      <c r="I6" s="13" t="str">
        <f t="shared" si="4"/>
        <v>D</v>
      </c>
      <c r="J6" s="2">
        <f t="shared" ref="J6:J11" si="7">D6*0.025</f>
        <v>75</v>
      </c>
      <c r="K6" s="2">
        <f t="shared" ref="K6:K11" si="8">D6*0.035</f>
        <v>105.00000000000001</v>
      </c>
      <c r="L6" s="2">
        <f>K6-J6</f>
        <v>30.000000000000014</v>
      </c>
      <c r="M6" s="2">
        <f t="shared" si="5"/>
        <v>3150</v>
      </c>
      <c r="N6" s="2" t="str">
        <f t="shared" si="6"/>
        <v>D</v>
      </c>
    </row>
    <row r="7" spans="1:14">
      <c r="A7" s="13" t="s">
        <v>15</v>
      </c>
      <c r="B7" s="13" t="s">
        <v>60</v>
      </c>
      <c r="C7" s="13" t="s">
        <v>66</v>
      </c>
      <c r="D7" s="13">
        <v>6000</v>
      </c>
      <c r="E7" s="13">
        <f t="shared" si="0"/>
        <v>150</v>
      </c>
      <c r="F7" s="13">
        <f t="shared" si="1"/>
        <v>210.00000000000003</v>
      </c>
      <c r="G7" s="13">
        <f t="shared" si="2"/>
        <v>60.000000000000028</v>
      </c>
      <c r="H7" s="13">
        <f t="shared" si="3"/>
        <v>6300</v>
      </c>
      <c r="I7" s="13" t="str">
        <f t="shared" si="4"/>
        <v>D</v>
      </c>
      <c r="J7" s="2">
        <f t="shared" si="7"/>
        <v>150</v>
      </c>
      <c r="K7" s="2">
        <f t="shared" si="8"/>
        <v>210.00000000000003</v>
      </c>
      <c r="L7" s="2">
        <f t="shared" ref="L7:L11" si="9">K7-J7</f>
        <v>60.000000000000028</v>
      </c>
      <c r="M7" s="2">
        <f t="shared" si="5"/>
        <v>6300</v>
      </c>
      <c r="N7" s="2" t="str">
        <f t="shared" si="6"/>
        <v>D</v>
      </c>
    </row>
    <row r="8" spans="1:14">
      <c r="A8" s="13" t="s">
        <v>54</v>
      </c>
      <c r="B8" s="13" t="s">
        <v>60</v>
      </c>
      <c r="C8" s="13" t="s">
        <v>67</v>
      </c>
      <c r="D8" s="13">
        <v>8000</v>
      </c>
      <c r="E8" s="13">
        <f t="shared" si="0"/>
        <v>200</v>
      </c>
      <c r="F8" s="13">
        <f t="shared" si="1"/>
        <v>280</v>
      </c>
      <c r="G8" s="13">
        <f t="shared" si="2"/>
        <v>80</v>
      </c>
      <c r="H8" s="13">
        <f t="shared" si="3"/>
        <v>8400</v>
      </c>
      <c r="I8" s="13" t="str">
        <f t="shared" si="4"/>
        <v>D</v>
      </c>
      <c r="J8" s="2">
        <f t="shared" si="7"/>
        <v>200</v>
      </c>
      <c r="K8" s="2">
        <f t="shared" si="8"/>
        <v>280</v>
      </c>
      <c r="L8" s="2">
        <f t="shared" si="9"/>
        <v>80</v>
      </c>
      <c r="M8" s="2">
        <f t="shared" si="5"/>
        <v>8400</v>
      </c>
      <c r="N8" s="2" t="str">
        <f t="shared" si="6"/>
        <v>D</v>
      </c>
    </row>
    <row r="9" spans="1:14">
      <c r="A9" s="13" t="s">
        <v>55</v>
      </c>
      <c r="B9" s="13" t="s">
        <v>60</v>
      </c>
      <c r="C9" s="13" t="s">
        <v>68</v>
      </c>
      <c r="D9" s="13">
        <v>9000</v>
      </c>
      <c r="E9" s="13">
        <f t="shared" si="0"/>
        <v>225</v>
      </c>
      <c r="F9" s="13">
        <f t="shared" si="1"/>
        <v>315.00000000000006</v>
      </c>
      <c r="G9" s="13">
        <f t="shared" si="2"/>
        <v>90.000000000000057</v>
      </c>
      <c r="H9" s="13">
        <f t="shared" si="3"/>
        <v>9450</v>
      </c>
      <c r="I9" s="13" t="str">
        <f t="shared" si="4"/>
        <v>D</v>
      </c>
      <c r="J9" s="2">
        <f t="shared" si="7"/>
        <v>225</v>
      </c>
      <c r="K9" s="2">
        <f t="shared" si="8"/>
        <v>315.00000000000006</v>
      </c>
      <c r="L9" s="2">
        <f t="shared" si="9"/>
        <v>90.000000000000057</v>
      </c>
      <c r="M9" s="2">
        <f t="shared" si="5"/>
        <v>9450</v>
      </c>
      <c r="N9" s="2" t="str">
        <f t="shared" si="6"/>
        <v>D</v>
      </c>
    </row>
    <row r="10" spans="1:14">
      <c r="A10" s="13" t="s">
        <v>56</v>
      </c>
      <c r="B10" s="13" t="s">
        <v>61</v>
      </c>
      <c r="C10" s="13" t="s">
        <v>65</v>
      </c>
      <c r="D10" s="13">
        <v>10000</v>
      </c>
      <c r="E10" s="13">
        <f t="shared" si="0"/>
        <v>250</v>
      </c>
      <c r="F10" s="13">
        <f t="shared" si="1"/>
        <v>350.00000000000006</v>
      </c>
      <c r="G10" s="13">
        <f t="shared" si="2"/>
        <v>100.00000000000006</v>
      </c>
      <c r="H10" s="13">
        <f t="shared" si="3"/>
        <v>10500</v>
      </c>
      <c r="I10" s="13" t="str">
        <f>IF(H10:H13&gt;20000,"A",IF(H10&gt;15000,"B",IF(H10&gt;10000,"C","D")))</f>
        <v>C</v>
      </c>
      <c r="J10" s="2">
        <f t="shared" si="7"/>
        <v>250</v>
      </c>
      <c r="K10" s="2">
        <f t="shared" si="8"/>
        <v>350.00000000000006</v>
      </c>
      <c r="L10" s="2">
        <f t="shared" si="9"/>
        <v>100.00000000000006</v>
      </c>
      <c r="M10" s="2">
        <f t="shared" si="5"/>
        <v>10500</v>
      </c>
      <c r="N10" s="2" t="str">
        <f t="shared" si="6"/>
        <v>C</v>
      </c>
    </row>
    <row r="11" spans="1:14">
      <c r="A11" s="13" t="s">
        <v>57</v>
      </c>
      <c r="B11" s="13" t="s">
        <v>61</v>
      </c>
      <c r="C11" s="13" t="s">
        <v>66</v>
      </c>
      <c r="D11" s="13">
        <v>5000</v>
      </c>
      <c r="E11" s="13">
        <f t="shared" si="0"/>
        <v>125</v>
      </c>
      <c r="F11" s="13">
        <f t="shared" si="1"/>
        <v>175.00000000000003</v>
      </c>
      <c r="G11" s="13">
        <f t="shared" si="2"/>
        <v>50.000000000000028</v>
      </c>
      <c r="H11" s="13">
        <f t="shared" si="3"/>
        <v>5250</v>
      </c>
      <c r="I11" s="13" t="str">
        <f>IF(H11&gt;20000,"A",IF(H11&gt;15000,"B",IF(H11&gt;10000,"C","D")))</f>
        <v>D</v>
      </c>
      <c r="J11" s="2">
        <f t="shared" si="7"/>
        <v>125</v>
      </c>
      <c r="K11" s="2">
        <f t="shared" si="8"/>
        <v>175.00000000000003</v>
      </c>
      <c r="L11" s="2">
        <f t="shared" si="9"/>
        <v>50.000000000000028</v>
      </c>
      <c r="M11" s="2">
        <f t="shared" si="5"/>
        <v>5250</v>
      </c>
      <c r="N11" s="2" t="str">
        <f t="shared" si="6"/>
        <v>D</v>
      </c>
    </row>
    <row r="13" spans="1:14">
      <c r="A13" s="14" t="s">
        <v>71</v>
      </c>
      <c r="B13" s="14" t="s">
        <v>42</v>
      </c>
      <c r="C13" s="14" t="s">
        <v>72</v>
      </c>
      <c r="D13" s="14" t="s">
        <v>73</v>
      </c>
    </row>
    <row r="14" spans="1:14">
      <c r="B14" s="6">
        <f>COUNTIF(B4:B11,"Computer")</f>
        <v>2</v>
      </c>
      <c r="C14" s="6">
        <f>COUNTIF(B4:B11,"Finance")</f>
        <v>2</v>
      </c>
      <c r="D14" s="6">
        <f>COUNTIF(B4:B11,"Electrical")</f>
        <v>4</v>
      </c>
    </row>
    <row r="15" spans="1:14">
      <c r="B15">
        <f>COUNTIF(B4:B11,"COMPUTER")</f>
        <v>2</v>
      </c>
      <c r="C15">
        <f>COUNTIF(B4:B11,"FINANCE")</f>
        <v>2</v>
      </c>
      <c r="D15">
        <f>COUNTIF(B4:B11,"ELECTRICAL")</f>
        <v>4</v>
      </c>
    </row>
    <row r="17" spans="1:6">
      <c r="A17" s="14" t="s">
        <v>74</v>
      </c>
      <c r="B17" s="14"/>
      <c r="C17" s="14"/>
    </row>
    <row r="19" spans="1:6">
      <c r="C19">
        <f>SUMIF(B4:B11,"Computer",D4:D11)</f>
        <v>13000</v>
      </c>
    </row>
    <row r="20" spans="1:6">
      <c r="C20">
        <f>SUMIF(B4:B11,"COMPUTER",D4:D11)</f>
        <v>13000</v>
      </c>
    </row>
    <row r="21" spans="1:6">
      <c r="A21" t="s">
        <v>75</v>
      </c>
      <c r="C21" t="s">
        <v>49</v>
      </c>
      <c r="D21" t="s">
        <v>8</v>
      </c>
      <c r="F21" t="s">
        <v>12</v>
      </c>
    </row>
    <row r="22" spans="1:6">
      <c r="C22" t="str">
        <f>VLOOKUP(F21,A4:C11,3,FALSE)</f>
        <v>MANAGER</v>
      </c>
      <c r="D22" t="str">
        <f>VLOOKUP(F21,A4:I11,9,FALSE)</f>
        <v>D</v>
      </c>
    </row>
    <row r="23" spans="1:6">
      <c r="C23" t="str">
        <f>VLOOKUP(F23,A3:I11,3,0)</f>
        <v>PION</v>
      </c>
      <c r="D23" t="str">
        <f>VLOOKUP(F23,A4:I11,9,0)</f>
        <v>C</v>
      </c>
      <c r="F23" t="s">
        <v>56</v>
      </c>
    </row>
  </sheetData>
  <mergeCells count="1">
    <mergeCell ref="A1:B1"/>
  </mergeCells>
  <dataValidations count="1">
    <dataValidation type="list" allowBlank="1" showInputMessage="1" showErrorMessage="1" sqref="F21 F23" xr:uid="{2D1D5B56-C74B-4C5C-B5ED-D2545CA53475}">
      <formula1>$A$4:$A$11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F91AC-1A6F-4ACD-9EA8-F2ED17142C31}">
  <dimension ref="A1:N30"/>
  <sheetViews>
    <sheetView workbookViewId="0">
      <selection activeCell="M1" sqref="M1"/>
    </sheetView>
  </sheetViews>
  <sheetFormatPr defaultRowHeight="15"/>
  <cols>
    <col min="10" max="10" width="14.42578125" customWidth="1"/>
  </cols>
  <sheetData>
    <row r="1" spans="1:14" ht="27">
      <c r="C1" s="15" t="s">
        <v>76</v>
      </c>
      <c r="D1" s="15"/>
      <c r="E1" s="15"/>
      <c r="M1" t="s">
        <v>1013</v>
      </c>
    </row>
    <row r="2" spans="1:14" ht="30">
      <c r="A2" s="16" t="s">
        <v>77</v>
      </c>
      <c r="B2" s="17" t="s">
        <v>89</v>
      </c>
      <c r="C2" s="17" t="s">
        <v>90</v>
      </c>
      <c r="D2" s="17" t="s">
        <v>103</v>
      </c>
      <c r="E2" s="17" t="s">
        <v>91</v>
      </c>
      <c r="F2" s="17" t="s">
        <v>92</v>
      </c>
      <c r="G2" s="17" t="s">
        <v>93</v>
      </c>
      <c r="H2" s="17" t="s">
        <v>94</v>
      </c>
      <c r="I2" s="17" t="s">
        <v>95</v>
      </c>
      <c r="J2" s="17" t="s">
        <v>96</v>
      </c>
      <c r="L2" s="241" t="s">
        <v>94</v>
      </c>
      <c r="M2" s="241" t="s">
        <v>95</v>
      </c>
      <c r="N2" s="241" t="s">
        <v>96</v>
      </c>
    </row>
    <row r="3" spans="1:14">
      <c r="A3" s="18" t="s">
        <v>78</v>
      </c>
      <c r="B3" s="18">
        <v>2000</v>
      </c>
      <c r="C3" s="18">
        <v>1500</v>
      </c>
      <c r="D3" s="18">
        <v>300</v>
      </c>
      <c r="E3" s="18">
        <v>1400</v>
      </c>
      <c r="F3" s="18">
        <v>1000</v>
      </c>
      <c r="G3" s="18">
        <v>1400</v>
      </c>
      <c r="H3" s="18">
        <f t="shared" ref="H3:H13" si="0">SUM(B3:G3)</f>
        <v>7600</v>
      </c>
      <c r="I3" s="18">
        <v>10000</v>
      </c>
      <c r="J3" s="18" t="s">
        <v>102</v>
      </c>
      <c r="L3" s="2">
        <f>SUM(B3:G3)</f>
        <v>7600</v>
      </c>
      <c r="M3" s="242">
        <v>10000</v>
      </c>
      <c r="N3" s="2" t="str">
        <f>IF(L3=M3,"TARGET ACHIVEED","NOT-ACHIEVED")</f>
        <v>NOT-ACHIEVED</v>
      </c>
    </row>
    <row r="4" spans="1:14">
      <c r="A4" s="18" t="s">
        <v>79</v>
      </c>
      <c r="B4" s="18">
        <v>5000</v>
      </c>
      <c r="C4" s="18">
        <v>1200</v>
      </c>
      <c r="D4" s="18">
        <v>500</v>
      </c>
      <c r="E4" s="18">
        <v>1200</v>
      </c>
      <c r="F4" s="18">
        <v>1200</v>
      </c>
      <c r="G4" s="18">
        <v>2800</v>
      </c>
      <c r="H4" s="18">
        <f t="shared" si="0"/>
        <v>11900</v>
      </c>
      <c r="I4" s="18">
        <v>12000</v>
      </c>
      <c r="J4" s="18" t="str">
        <f t="shared" ref="J4:J12" si="1">IF(H4&gt;=I4,"TARGET ACHIEVED","NOT-ACHIEVED")</f>
        <v>NOT-ACHIEVED</v>
      </c>
      <c r="L4" s="2">
        <f t="shared" ref="L4:L13" si="2">SUM(B4:G4)</f>
        <v>11900</v>
      </c>
      <c r="M4" s="242">
        <v>12000</v>
      </c>
      <c r="N4" s="2" t="str">
        <f>IF(L4&gt;=M4,"TARGET ACHIEVED","NOT-ACHIEVED")</f>
        <v>NOT-ACHIEVED</v>
      </c>
    </row>
    <row r="5" spans="1:14">
      <c r="A5" s="18" t="s">
        <v>80</v>
      </c>
      <c r="B5" s="18">
        <v>3000</v>
      </c>
      <c r="C5" s="18">
        <v>800</v>
      </c>
      <c r="D5" s="18">
        <v>1200</v>
      </c>
      <c r="E5" s="18">
        <v>3000</v>
      </c>
      <c r="F5" s="18">
        <v>1500</v>
      </c>
      <c r="G5" s="18">
        <v>3500</v>
      </c>
      <c r="H5" s="18">
        <f t="shared" si="0"/>
        <v>13000</v>
      </c>
      <c r="I5" s="18">
        <v>18000</v>
      </c>
      <c r="J5" s="18" t="str">
        <f t="shared" si="1"/>
        <v>NOT-ACHIEVED</v>
      </c>
      <c r="L5" s="2">
        <f t="shared" si="2"/>
        <v>13000</v>
      </c>
      <c r="M5" s="242">
        <v>18000</v>
      </c>
      <c r="N5" s="2" t="str">
        <f t="shared" ref="N5:N13" si="3">IF(L5&gt;=M5,"TARGET ACHIEVED","NOT-ACHIEVED")</f>
        <v>NOT-ACHIEVED</v>
      </c>
    </row>
    <row r="6" spans="1:14">
      <c r="A6" s="18" t="s">
        <v>81</v>
      </c>
      <c r="B6" s="18">
        <v>1000</v>
      </c>
      <c r="C6" s="18">
        <v>900</v>
      </c>
      <c r="D6" s="18">
        <v>1800</v>
      </c>
      <c r="E6" s="18">
        <v>5000</v>
      </c>
      <c r="F6" s="18">
        <v>1400</v>
      </c>
      <c r="G6" s="18">
        <v>1200</v>
      </c>
      <c r="H6" s="18">
        <f t="shared" si="0"/>
        <v>11300</v>
      </c>
      <c r="I6" s="18">
        <v>10000</v>
      </c>
      <c r="J6" s="18" t="str">
        <f t="shared" si="1"/>
        <v>TARGET ACHIEVED</v>
      </c>
      <c r="L6" s="2">
        <f t="shared" si="2"/>
        <v>11300</v>
      </c>
      <c r="M6" s="242">
        <v>10000</v>
      </c>
      <c r="N6" s="2" t="str">
        <f t="shared" si="3"/>
        <v>TARGET ACHIEVED</v>
      </c>
    </row>
    <row r="7" spans="1:14">
      <c r="A7" s="18" t="s">
        <v>82</v>
      </c>
      <c r="B7" s="18">
        <v>500</v>
      </c>
      <c r="C7" s="18">
        <v>1000</v>
      </c>
      <c r="D7" s="18">
        <v>2300</v>
      </c>
      <c r="E7" s="18">
        <v>8000</v>
      </c>
      <c r="F7" s="18">
        <v>1700</v>
      </c>
      <c r="G7" s="18">
        <v>1400</v>
      </c>
      <c r="H7" s="18">
        <f t="shared" si="0"/>
        <v>14900</v>
      </c>
      <c r="I7" s="18">
        <v>12000</v>
      </c>
      <c r="J7" s="18" t="str">
        <f t="shared" si="1"/>
        <v>TARGET ACHIEVED</v>
      </c>
      <c r="L7" s="2">
        <f t="shared" si="2"/>
        <v>14900</v>
      </c>
      <c r="M7" s="242">
        <v>12000</v>
      </c>
      <c r="N7" s="2" t="str">
        <f t="shared" si="3"/>
        <v>TARGET ACHIEVED</v>
      </c>
    </row>
    <row r="8" spans="1:14">
      <c r="A8" s="18" t="s">
        <v>83</v>
      </c>
      <c r="B8" s="18">
        <v>800</v>
      </c>
      <c r="C8" s="18">
        <v>500</v>
      </c>
      <c r="D8" s="18">
        <v>2400</v>
      </c>
      <c r="E8" s="18">
        <v>1900</v>
      </c>
      <c r="F8" s="18">
        <v>1800</v>
      </c>
      <c r="G8" s="18">
        <v>1800</v>
      </c>
      <c r="H8" s="18">
        <f t="shared" si="0"/>
        <v>9200</v>
      </c>
      <c r="I8" s="18">
        <v>10000</v>
      </c>
      <c r="J8" s="18" t="str">
        <f t="shared" si="1"/>
        <v>NOT-ACHIEVED</v>
      </c>
      <c r="L8" s="2">
        <f t="shared" si="2"/>
        <v>9200</v>
      </c>
      <c r="M8" s="242">
        <v>10000</v>
      </c>
      <c r="N8" s="2" t="str">
        <f t="shared" si="3"/>
        <v>NOT-ACHIEVED</v>
      </c>
    </row>
    <row r="9" spans="1:14">
      <c r="A9" s="18" t="s">
        <v>84</v>
      </c>
      <c r="B9" s="18">
        <v>1200</v>
      </c>
      <c r="C9" s="18">
        <v>1400</v>
      </c>
      <c r="D9" s="18">
        <v>1500</v>
      </c>
      <c r="E9" s="18">
        <v>700</v>
      </c>
      <c r="F9" s="18">
        <v>2500</v>
      </c>
      <c r="G9" s="18">
        <v>7000</v>
      </c>
      <c r="H9" s="18">
        <f t="shared" si="0"/>
        <v>14300</v>
      </c>
      <c r="I9" s="18">
        <v>12000</v>
      </c>
      <c r="J9" s="18" t="str">
        <f t="shared" si="1"/>
        <v>TARGET ACHIEVED</v>
      </c>
      <c r="L9" s="2">
        <f t="shared" si="2"/>
        <v>14300</v>
      </c>
      <c r="M9" s="242">
        <v>12000</v>
      </c>
      <c r="N9" s="2" t="str">
        <f t="shared" si="3"/>
        <v>TARGET ACHIEVED</v>
      </c>
    </row>
    <row r="10" spans="1:14">
      <c r="A10" s="18" t="s">
        <v>85</v>
      </c>
      <c r="B10" s="18">
        <v>1500</v>
      </c>
      <c r="C10" s="18">
        <v>1800</v>
      </c>
      <c r="D10" s="18">
        <v>1800</v>
      </c>
      <c r="E10" s="18">
        <v>1800</v>
      </c>
      <c r="F10" s="18">
        <v>300</v>
      </c>
      <c r="G10" s="18">
        <v>1500</v>
      </c>
      <c r="H10" s="18">
        <f t="shared" si="0"/>
        <v>8700</v>
      </c>
      <c r="I10" s="18">
        <v>10000</v>
      </c>
      <c r="J10" s="18" t="str">
        <f t="shared" si="1"/>
        <v>NOT-ACHIEVED</v>
      </c>
      <c r="L10" s="2">
        <f t="shared" si="2"/>
        <v>8700</v>
      </c>
      <c r="M10" s="242">
        <v>10000</v>
      </c>
      <c r="N10" s="2" t="str">
        <f t="shared" si="3"/>
        <v>NOT-ACHIEVED</v>
      </c>
    </row>
    <row r="11" spans="1:14">
      <c r="A11" s="18" t="s">
        <v>86</v>
      </c>
      <c r="B11" s="18">
        <v>1800</v>
      </c>
      <c r="C11" s="18">
        <v>2500</v>
      </c>
      <c r="D11" s="18">
        <v>1700</v>
      </c>
      <c r="E11" s="18">
        <v>1500</v>
      </c>
      <c r="F11" s="18">
        <v>2800</v>
      </c>
      <c r="G11" s="18">
        <v>1800</v>
      </c>
      <c r="H11" s="18">
        <f t="shared" si="0"/>
        <v>12100</v>
      </c>
      <c r="I11" s="18">
        <v>12000</v>
      </c>
      <c r="J11" s="18" t="str">
        <f t="shared" si="1"/>
        <v>TARGET ACHIEVED</v>
      </c>
      <c r="L11" s="2">
        <f t="shared" si="2"/>
        <v>12100</v>
      </c>
      <c r="M11" s="242">
        <v>12000</v>
      </c>
      <c r="N11" s="2" t="str">
        <f t="shared" si="3"/>
        <v>TARGET ACHIEVED</v>
      </c>
    </row>
    <row r="12" spans="1:14" ht="30">
      <c r="A12" s="19" t="s">
        <v>87</v>
      </c>
      <c r="B12" s="18">
        <v>200</v>
      </c>
      <c r="C12" s="18">
        <v>3000</v>
      </c>
      <c r="D12" s="18">
        <v>1900</v>
      </c>
      <c r="E12" s="18">
        <v>1200</v>
      </c>
      <c r="F12" s="18">
        <v>1500</v>
      </c>
      <c r="G12" s="18">
        <v>3000</v>
      </c>
      <c r="H12" s="18">
        <f t="shared" si="0"/>
        <v>10800</v>
      </c>
      <c r="I12" s="18">
        <v>10000</v>
      </c>
      <c r="J12" s="18" t="str">
        <f t="shared" si="1"/>
        <v>TARGET ACHIEVED</v>
      </c>
      <c r="L12" s="2">
        <f t="shared" si="2"/>
        <v>10800</v>
      </c>
      <c r="M12" s="242">
        <v>10000</v>
      </c>
      <c r="N12" s="2" t="str">
        <f t="shared" si="3"/>
        <v>TARGET ACHIEVED</v>
      </c>
    </row>
    <row r="13" spans="1:14">
      <c r="A13" s="18" t="s">
        <v>88</v>
      </c>
      <c r="B13" s="18">
        <v>1600</v>
      </c>
      <c r="C13" s="18">
        <v>1200</v>
      </c>
      <c r="D13" s="18">
        <v>2000</v>
      </c>
      <c r="E13" s="18">
        <v>800</v>
      </c>
      <c r="F13" s="18">
        <v>1700</v>
      </c>
      <c r="G13" s="18">
        <v>800</v>
      </c>
      <c r="H13" s="18">
        <f t="shared" si="0"/>
        <v>8100</v>
      </c>
      <c r="I13" s="18">
        <v>10000</v>
      </c>
      <c r="J13" s="18" t="str">
        <f>IF(H13&gt;I13,"TARGET ACHIEVED","NOT-ACHIEVED")</f>
        <v>NOT-ACHIEVED</v>
      </c>
      <c r="L13" s="2">
        <f t="shared" si="2"/>
        <v>8100</v>
      </c>
      <c r="M13" s="242">
        <v>10000</v>
      </c>
      <c r="N13" s="2" t="str">
        <f t="shared" si="3"/>
        <v>NOT-ACHIEVED</v>
      </c>
    </row>
    <row r="15" spans="1:14">
      <c r="A15" t="s">
        <v>97</v>
      </c>
    </row>
    <row r="16" spans="1:14">
      <c r="A16" t="s">
        <v>98</v>
      </c>
    </row>
    <row r="17" spans="1:8">
      <c r="A17" t="s">
        <v>99</v>
      </c>
    </row>
    <row r="18" spans="1:8">
      <c r="A18" t="s">
        <v>100</v>
      </c>
    </row>
    <row r="19" spans="1:8">
      <c r="A19" t="s">
        <v>101</v>
      </c>
    </row>
    <row r="21" spans="1:8">
      <c r="A21" t="s">
        <v>104</v>
      </c>
      <c r="D21">
        <f>COUNTA(A3:A13)</f>
        <v>11</v>
      </c>
      <c r="E21">
        <f>COUNTA(A3:A13)</f>
        <v>11</v>
      </c>
    </row>
    <row r="22" spans="1:8">
      <c r="B22" t="s">
        <v>95</v>
      </c>
      <c r="C22" t="s">
        <v>105</v>
      </c>
    </row>
    <row r="23" spans="1:8">
      <c r="A23" t="s">
        <v>84</v>
      </c>
      <c r="B23">
        <f>SUMIF(A3:A13,"AJEET",I3:I13)</f>
        <v>12000</v>
      </c>
      <c r="C23" t="str">
        <f>VLOOKUP("AJEET",A3:J13,10,FALSE)</f>
        <v>TARGET ACHIEVED</v>
      </c>
    </row>
    <row r="25" spans="1:8">
      <c r="A25" t="s">
        <v>106</v>
      </c>
      <c r="E25" t="s">
        <v>95</v>
      </c>
      <c r="F25" t="s">
        <v>105</v>
      </c>
      <c r="H25" t="s">
        <v>81</v>
      </c>
    </row>
    <row r="26" spans="1:8">
      <c r="E26">
        <f>VLOOKUP(H25,A3:I13,9,FALSE)</f>
        <v>10000</v>
      </c>
      <c r="F26" t="str">
        <f>VLOOKUP(H25,A3:J13,10,FALSE)</f>
        <v>TARGET ACHIEVED</v>
      </c>
    </row>
    <row r="27" spans="1:8">
      <c r="B27" t="s">
        <v>108</v>
      </c>
    </row>
    <row r="28" spans="1:8">
      <c r="A28" t="s">
        <v>107</v>
      </c>
      <c r="B28">
        <f>COUNTIF(J3:J13,"TARGET ACHIEVED")</f>
        <v>5</v>
      </c>
    </row>
    <row r="29" spans="1:8">
      <c r="B29" t="s">
        <v>110</v>
      </c>
      <c r="D29" t="s">
        <v>111</v>
      </c>
    </row>
    <row r="30" spans="1:8">
      <c r="A30" t="s">
        <v>109</v>
      </c>
      <c r="B30" t="str">
        <f>INDEX(A3:A13,MATCH(2000,B3:B13,0),1)</f>
        <v>RAMESH</v>
      </c>
      <c r="D30" t="str">
        <f>INDEX(A3:A13,MATCH(2500,C3:C13,0),1)</f>
        <v>AMRIT</v>
      </c>
    </row>
  </sheetData>
  <dataValidations count="1">
    <dataValidation type="list" allowBlank="1" showInputMessage="1" showErrorMessage="1" sqref="H25" xr:uid="{82D12E60-129F-46B4-BDF9-C5BB38B04325}">
      <formula1>$A$3:$A$13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BF57-2E2A-4F7C-B4A2-9283D619D2C0}">
  <dimension ref="A1:G46"/>
  <sheetViews>
    <sheetView topLeftCell="A5" workbookViewId="0">
      <selection activeCell="H23" sqref="H23"/>
    </sheetView>
  </sheetViews>
  <sheetFormatPr defaultRowHeight="15"/>
  <cols>
    <col min="1" max="1" width="15.5703125" customWidth="1"/>
    <col min="2" max="2" width="16.140625" customWidth="1"/>
    <col min="3" max="3" width="16.42578125" customWidth="1"/>
    <col min="5" max="5" width="12.85546875" customWidth="1"/>
    <col min="6" max="6" width="13.85546875" customWidth="1"/>
    <col min="7" max="7" width="14" customWidth="1"/>
  </cols>
  <sheetData>
    <row r="1" spans="1:7" ht="18.75">
      <c r="B1" s="11" t="s">
        <v>119</v>
      </c>
    </row>
    <row r="2" spans="1:7" ht="16.5">
      <c r="A2" s="20" t="s">
        <v>120</v>
      </c>
      <c r="B2" s="20"/>
      <c r="C2" s="20"/>
      <c r="D2" s="20"/>
      <c r="E2" s="20"/>
      <c r="F2" s="20"/>
    </row>
    <row r="3" spans="1:7">
      <c r="G3" t="s">
        <v>1013</v>
      </c>
    </row>
    <row r="4" spans="1:7">
      <c r="A4" s="21" t="s">
        <v>26</v>
      </c>
      <c r="B4" s="21" t="s">
        <v>112</v>
      </c>
      <c r="C4" s="21" t="s">
        <v>113</v>
      </c>
      <c r="E4" s="21" t="s">
        <v>26</v>
      </c>
      <c r="F4" s="21" t="s">
        <v>112</v>
      </c>
      <c r="G4" s="21" t="s">
        <v>113</v>
      </c>
    </row>
    <row r="5" spans="1:7">
      <c r="A5" s="22" t="s">
        <v>114</v>
      </c>
      <c r="B5" s="23">
        <v>42370</v>
      </c>
      <c r="C5" s="22">
        <v>800</v>
      </c>
      <c r="E5" s="5" t="s">
        <v>114</v>
      </c>
      <c r="F5" s="243">
        <v>42370</v>
      </c>
      <c r="G5" s="5">
        <v>800</v>
      </c>
    </row>
    <row r="6" spans="1:7">
      <c r="A6" s="22" t="s">
        <v>115</v>
      </c>
      <c r="B6" s="24">
        <v>42502</v>
      </c>
      <c r="C6" s="22">
        <v>2000</v>
      </c>
      <c r="E6" s="18" t="s">
        <v>115</v>
      </c>
      <c r="F6" s="18">
        <v>42502</v>
      </c>
      <c r="G6" s="18">
        <v>2000</v>
      </c>
    </row>
    <row r="7" spans="1:7">
      <c r="A7" s="22" t="s">
        <v>114</v>
      </c>
      <c r="B7" s="23">
        <v>42508</v>
      </c>
      <c r="C7" s="22">
        <v>500</v>
      </c>
      <c r="E7" s="5" t="s">
        <v>114</v>
      </c>
      <c r="F7" s="243">
        <v>42508</v>
      </c>
      <c r="G7" s="5">
        <v>500</v>
      </c>
    </row>
    <row r="8" spans="1:7">
      <c r="A8" s="22" t="s">
        <v>116</v>
      </c>
      <c r="B8" s="24">
        <v>42510</v>
      </c>
      <c r="C8" s="22">
        <v>800</v>
      </c>
      <c r="E8" s="5" t="s">
        <v>116</v>
      </c>
      <c r="F8" s="244">
        <v>42510</v>
      </c>
      <c r="G8" s="5">
        <v>800</v>
      </c>
    </row>
    <row r="9" spans="1:7">
      <c r="A9" s="22" t="s">
        <v>116</v>
      </c>
      <c r="B9" s="24">
        <v>42410</v>
      </c>
      <c r="C9" s="22">
        <v>1000</v>
      </c>
      <c r="E9" s="5" t="s">
        <v>116</v>
      </c>
      <c r="F9" s="244">
        <v>42410</v>
      </c>
      <c r="G9" s="5">
        <v>1000</v>
      </c>
    </row>
    <row r="10" spans="1:7">
      <c r="A10" s="22" t="s">
        <v>117</v>
      </c>
      <c r="B10" s="24">
        <v>42498</v>
      </c>
      <c r="C10" s="22">
        <v>1000</v>
      </c>
      <c r="E10" s="5" t="s">
        <v>117</v>
      </c>
      <c r="F10" s="244">
        <v>42498</v>
      </c>
      <c r="G10" s="5">
        <v>1000</v>
      </c>
    </row>
    <row r="11" spans="1:7">
      <c r="A11" s="22" t="s">
        <v>115</v>
      </c>
      <c r="B11" s="24">
        <v>42515</v>
      </c>
      <c r="C11" s="22">
        <v>1200</v>
      </c>
      <c r="E11" s="5" t="s">
        <v>115</v>
      </c>
      <c r="F11" s="244">
        <v>42515</v>
      </c>
      <c r="G11" s="5">
        <v>1200</v>
      </c>
    </row>
    <row r="12" spans="1:7">
      <c r="A12" s="22" t="s">
        <v>115</v>
      </c>
      <c r="B12" s="24">
        <v>42561</v>
      </c>
      <c r="C12" s="22">
        <v>1500</v>
      </c>
      <c r="E12" s="5" t="s">
        <v>115</v>
      </c>
      <c r="F12" s="244">
        <v>42561</v>
      </c>
      <c r="G12" s="5">
        <v>1500</v>
      </c>
    </row>
    <row r="13" spans="1:7">
      <c r="A13" s="22" t="s">
        <v>118</v>
      </c>
      <c r="B13" s="24">
        <v>42379</v>
      </c>
      <c r="C13" s="22">
        <v>1800</v>
      </c>
      <c r="E13" s="5" t="s">
        <v>118</v>
      </c>
      <c r="F13" s="244">
        <v>42379</v>
      </c>
      <c r="G13" s="5">
        <v>1800</v>
      </c>
    </row>
    <row r="14" spans="1:7">
      <c r="A14" s="22" t="s">
        <v>115</v>
      </c>
      <c r="B14" s="24">
        <v>42536</v>
      </c>
      <c r="C14" s="22">
        <v>2000</v>
      </c>
      <c r="E14" s="5" t="s">
        <v>115</v>
      </c>
      <c r="F14" s="244">
        <v>42536</v>
      </c>
      <c r="G14" s="5">
        <v>2000</v>
      </c>
    </row>
    <row r="15" spans="1:7">
      <c r="A15" s="22" t="s">
        <v>118</v>
      </c>
      <c r="B15" s="24">
        <v>42381</v>
      </c>
      <c r="C15" s="22">
        <v>1500</v>
      </c>
      <c r="E15" s="5" t="s">
        <v>118</v>
      </c>
      <c r="F15" s="244">
        <v>42381</v>
      </c>
      <c r="G15" s="5">
        <v>1500</v>
      </c>
    </row>
    <row r="16" spans="1:7">
      <c r="A16" s="22" t="s">
        <v>118</v>
      </c>
      <c r="B16" s="24">
        <v>42370</v>
      </c>
      <c r="C16" s="22">
        <v>1000</v>
      </c>
      <c r="E16" s="5" t="s">
        <v>118</v>
      </c>
      <c r="F16" s="244">
        <v>42370</v>
      </c>
      <c r="G16" s="5">
        <v>1000</v>
      </c>
    </row>
    <row r="17" spans="1:7">
      <c r="A17" s="22" t="s">
        <v>117</v>
      </c>
      <c r="B17" s="24">
        <v>42500</v>
      </c>
      <c r="C17" s="22">
        <v>1200</v>
      </c>
      <c r="E17" s="5" t="s">
        <v>117</v>
      </c>
      <c r="F17" s="244">
        <v>42500</v>
      </c>
      <c r="G17" s="5">
        <v>1200</v>
      </c>
    </row>
    <row r="18" spans="1:7">
      <c r="A18" s="22" t="s">
        <v>117</v>
      </c>
      <c r="B18" s="24">
        <v>42500</v>
      </c>
      <c r="C18" s="22">
        <v>1500</v>
      </c>
      <c r="E18" s="5" t="s">
        <v>117</v>
      </c>
      <c r="F18" s="244">
        <v>42500</v>
      </c>
      <c r="G18" s="5">
        <v>1500</v>
      </c>
    </row>
    <row r="19" spans="1:7">
      <c r="A19" s="22" t="s">
        <v>117</v>
      </c>
      <c r="B19" s="24">
        <v>42500</v>
      </c>
      <c r="C19" s="22">
        <v>1800</v>
      </c>
      <c r="E19" s="5" t="s">
        <v>117</v>
      </c>
      <c r="F19" s="244">
        <v>42500</v>
      </c>
      <c r="G19" s="5">
        <v>1800</v>
      </c>
    </row>
    <row r="20" spans="1:7">
      <c r="A20" s="22" t="s">
        <v>114</v>
      </c>
      <c r="B20" s="24">
        <v>42596</v>
      </c>
      <c r="C20" s="22">
        <v>1000</v>
      </c>
      <c r="E20" s="5" t="s">
        <v>114</v>
      </c>
      <c r="F20" s="244">
        <v>42596</v>
      </c>
      <c r="G20" s="5">
        <v>1000</v>
      </c>
    </row>
    <row r="21" spans="1:7">
      <c r="A21" s="22" t="s">
        <v>114</v>
      </c>
      <c r="B21" s="24">
        <v>42597</v>
      </c>
      <c r="C21" s="22">
        <v>1200</v>
      </c>
      <c r="E21" s="5" t="s">
        <v>114</v>
      </c>
      <c r="F21" s="244">
        <v>42597</v>
      </c>
      <c r="G21" s="5">
        <v>1200</v>
      </c>
    </row>
    <row r="22" spans="1:7">
      <c r="A22" s="22" t="s">
        <v>115</v>
      </c>
      <c r="B22" s="24">
        <v>42602</v>
      </c>
      <c r="C22" s="22">
        <v>1500</v>
      </c>
      <c r="E22" s="5" t="s">
        <v>115</v>
      </c>
      <c r="F22" s="244">
        <v>42602</v>
      </c>
      <c r="G22" s="5">
        <v>1500</v>
      </c>
    </row>
    <row r="23" spans="1:7">
      <c r="A23" s="22" t="s">
        <v>117</v>
      </c>
      <c r="B23" s="24">
        <v>42602</v>
      </c>
      <c r="C23" s="22">
        <v>1800</v>
      </c>
      <c r="E23" s="5" t="s">
        <v>117</v>
      </c>
      <c r="F23" s="244">
        <v>42602</v>
      </c>
      <c r="G23" s="5">
        <v>1800</v>
      </c>
    </row>
    <row r="26" spans="1:7">
      <c r="A26" s="25" t="s">
        <v>121</v>
      </c>
      <c r="C26">
        <f>COUNTA(A5:A23)</f>
        <v>19</v>
      </c>
    </row>
    <row r="29" spans="1:7">
      <c r="A29" t="s">
        <v>122</v>
      </c>
      <c r="F29">
        <f>COUNTIF(A5:A23,"BRAKES")+COUNTIF(A5:A23,"WINDOW")+COUNTIF(A5:A23,"TYRES")</f>
        <v>14</v>
      </c>
      <c r="G29">
        <f>COUNTIF(A5:A23,"BRAKES")+COUNTIF(A5:A23,"WINDOW")+COUNTIF(A5:A23,"TYRES")</f>
        <v>14</v>
      </c>
    </row>
    <row r="30" spans="1:7">
      <c r="C30" t="s">
        <v>123</v>
      </c>
      <c r="D30" t="s">
        <v>117</v>
      </c>
      <c r="E30" t="s">
        <v>115</v>
      </c>
    </row>
    <row r="31" spans="1:7">
      <c r="C31">
        <f>COUNTIF(A5:A23,"BRAKES")</f>
        <v>4</v>
      </c>
      <c r="D31">
        <f>COUNTIF(A5:A23,"WINDOW")</f>
        <v>5</v>
      </c>
      <c r="E31">
        <f>COUNTIF(A5:A23,"TYRES")</f>
        <v>5</v>
      </c>
    </row>
    <row r="33" spans="1:7">
      <c r="A33" t="s">
        <v>124</v>
      </c>
      <c r="F33">
        <f>COUNTIFS(C5:C23,"&gt;1000",C5:C23,"&lt;=1500")</f>
        <v>7</v>
      </c>
      <c r="G33">
        <f>COUNTIFS(C5:C23,"&gt;1000",C5:C23,"&lt;=1500")</f>
        <v>7</v>
      </c>
    </row>
    <row r="34" spans="1:7">
      <c r="B34" t="s">
        <v>125</v>
      </c>
      <c r="D34" t="s">
        <v>126</v>
      </c>
    </row>
    <row r="35" spans="1:7">
      <c r="B35">
        <f>COUNTIF(C5:C23,"&gt;1000")</f>
        <v>12</v>
      </c>
      <c r="C35">
        <f>COUNTIF(C5:C23,"&gt;1000")</f>
        <v>12</v>
      </c>
      <c r="D35">
        <f>COUNTIF(C5:C23,"&lt;=1500")</f>
        <v>14</v>
      </c>
      <c r="E35">
        <f>COUNTIF(C5:C23,"&lt;=1500")</f>
        <v>14</v>
      </c>
    </row>
    <row r="36" spans="1:7">
      <c r="A36" t="s">
        <v>127</v>
      </c>
    </row>
    <row r="40" spans="1:7">
      <c r="A40" t="s">
        <v>130</v>
      </c>
      <c r="C40">
        <v>15</v>
      </c>
      <c r="D40">
        <v>18</v>
      </c>
      <c r="E40">
        <v>20</v>
      </c>
    </row>
    <row r="41" spans="1:7">
      <c r="C41" t="str">
        <f>HLOOKUP(A5,A5:C23,15,0)</f>
        <v>WINDOW</v>
      </c>
      <c r="D41" t="str">
        <f>HLOOKUP(A5,A5:C23,18,0)</f>
        <v>TYRES</v>
      </c>
      <c r="E41" t="str">
        <f>HLOOKUP(A4,A4:C23,20,0)</f>
        <v>WINDOW</v>
      </c>
    </row>
    <row r="44" spans="1:7">
      <c r="A44" t="s">
        <v>128</v>
      </c>
      <c r="B44" t="s">
        <v>129</v>
      </c>
    </row>
    <row r="45" spans="1:7">
      <c r="B45" t="s">
        <v>117</v>
      </c>
      <c r="C45" t="s">
        <v>114</v>
      </c>
    </row>
    <row r="46" spans="1:7">
      <c r="B46">
        <f>SUMIF(A5:A23,"WINDOW",C5:C23)</f>
        <v>7300</v>
      </c>
      <c r="C46">
        <f>SUMIF(A5:A23,"BRAKES",C5:C23)</f>
        <v>3500</v>
      </c>
    </row>
  </sheetData>
  <conditionalFormatting sqref="E5">
    <cfRule type="expression" dxfId="6" priority="2">
      <formula>AND($A5="TYRES",$C5&gt;500,$C5&lt;=2000)</formula>
    </cfRule>
    <cfRule type="expression" dxfId="5" priority="3">
      <formula>AND($A5="TYRES",$C5&gt;1500,$C5&lt;=2000)</formula>
    </cfRule>
    <cfRule type="expression" dxfId="4" priority="4">
      <formula>AND($A5="TYRES",$C5&gt;500,$C5&lt;=2000)</formula>
    </cfRule>
    <cfRule type="expression" dxfId="3" priority="5">
      <formula>AND($A5="TYRES",$C5&gt;1500,$C5&lt;=2000)</formula>
    </cfRule>
    <cfRule type="expression" dxfId="2" priority="6">
      <formula>AND($A5,"=TYRES",$C5&gt;1500,$C$5&lt;=2000)</formula>
    </cfRule>
    <cfRule type="expression" dxfId="1" priority="7">
      <formula>AND($A5="TYRES",$C5&gt;15000,$C5&lt;=20000)</formula>
    </cfRule>
  </conditionalFormatting>
  <conditionalFormatting sqref="E5:G23">
    <cfRule type="expression" dxfId="0" priority="1" stopIfTrue="1">
      <formula>AND($A5="TYRES",$C5&gt;1500,$C5&lt;=2000)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306AC-D9DD-4B2F-8757-8BDBB09B0FBD}">
  <dimension ref="A1:K25"/>
  <sheetViews>
    <sheetView topLeftCell="A6" workbookViewId="0">
      <selection activeCell="I2" sqref="I2"/>
    </sheetView>
  </sheetViews>
  <sheetFormatPr defaultRowHeight="15"/>
  <cols>
    <col min="1" max="1" width="10.28515625" customWidth="1"/>
    <col min="2" max="2" width="17.7109375" customWidth="1"/>
    <col min="3" max="3" width="11" customWidth="1"/>
    <col min="4" max="4" width="12.140625" customWidth="1"/>
    <col min="5" max="5" width="11" customWidth="1"/>
    <col min="8" max="8" width="12.140625" customWidth="1"/>
    <col min="9" max="9" width="11.7109375" customWidth="1"/>
    <col min="10" max="10" width="12" customWidth="1"/>
    <col min="11" max="11" width="12.140625" customWidth="1"/>
  </cols>
  <sheetData>
    <row r="1" spans="1:11">
      <c r="C1" t="s">
        <v>132</v>
      </c>
    </row>
    <row r="2" spans="1:11">
      <c r="A2" t="s">
        <v>131</v>
      </c>
      <c r="I2" t="s">
        <v>1013</v>
      </c>
    </row>
    <row r="3" spans="1:11">
      <c r="A3" s="1" t="s">
        <v>59</v>
      </c>
      <c r="B3" s="1" t="s">
        <v>136</v>
      </c>
      <c r="C3" s="1" t="s">
        <v>135</v>
      </c>
      <c r="D3" s="1" t="s">
        <v>134</v>
      </c>
      <c r="E3" s="1" t="s">
        <v>133</v>
      </c>
      <c r="F3" s="1" t="s">
        <v>140</v>
      </c>
      <c r="H3" s="241" t="s">
        <v>135</v>
      </c>
      <c r="I3" s="241" t="s">
        <v>134</v>
      </c>
      <c r="J3" s="241" t="s">
        <v>133</v>
      </c>
      <c r="K3" s="241" t="s">
        <v>140</v>
      </c>
    </row>
    <row r="4" spans="1:11">
      <c r="A4" s="2" t="s">
        <v>78</v>
      </c>
      <c r="B4" s="26">
        <v>29387</v>
      </c>
      <c r="C4" s="2">
        <f ca="1">DATEDIF(B4,TODAY(),"MD")</f>
        <v>17</v>
      </c>
      <c r="D4" s="2">
        <f t="shared" ref="D4:D14" ca="1" si="0">DATEDIF(B4,TODAY(),"YM")</f>
        <v>6</v>
      </c>
      <c r="E4" s="2">
        <f t="shared" ref="E4:E14" ca="1" si="1">DATEDIF(B4,TODAY(),"Y")</f>
        <v>45</v>
      </c>
      <c r="F4" s="2" t="str">
        <f ca="1">IF(E4:E14&gt;20,"ADULT","CHILD")</f>
        <v>ADULT</v>
      </c>
      <c r="H4" s="2">
        <f ca="1">DATEDIF(B4,TODAY(),"MD")</f>
        <v>17</v>
      </c>
      <c r="I4" s="2">
        <f ca="1">DATEDIF(B4,TODAY(),"YM")</f>
        <v>6</v>
      </c>
      <c r="J4" s="2">
        <f ca="1">DATEDIF(B4,TODAY(),"Y")</f>
        <v>45</v>
      </c>
      <c r="K4" s="2" t="str">
        <f ca="1">IF(J4&gt;20,"ADULT","CHILD")</f>
        <v>ADULT</v>
      </c>
    </row>
    <row r="5" spans="1:11">
      <c r="A5" s="2" t="s">
        <v>79</v>
      </c>
      <c r="B5" s="26">
        <v>29818</v>
      </c>
      <c r="C5" s="2">
        <f ca="1">DATEDIF(B5,TODAY(),"MD")</f>
        <v>12</v>
      </c>
      <c r="D5" s="2">
        <f t="shared" ca="1" si="0"/>
        <v>4</v>
      </c>
      <c r="E5" s="2">
        <f t="shared" ca="1" si="1"/>
        <v>44</v>
      </c>
      <c r="F5" s="2" t="str">
        <f ca="1">IF(E5&gt;20,"ADULT","CHILD")</f>
        <v>ADULT</v>
      </c>
      <c r="H5" s="2">
        <f ca="1">DATEDIF(B5,TODAY(),"MD")</f>
        <v>12</v>
      </c>
      <c r="I5" s="2">
        <f ca="1">DATEDIF(B5,TODAY(),"YM")</f>
        <v>4</v>
      </c>
      <c r="J5" s="2">
        <f ca="1">DATEDIF(B5,TODAY(),"Y")</f>
        <v>44</v>
      </c>
      <c r="K5" s="2" t="str">
        <f t="shared" ref="K5:K14" ca="1" si="2">IF(J5&gt;20,"ADULT","CHILD")</f>
        <v>ADULT</v>
      </c>
    </row>
    <row r="6" spans="1:11">
      <c r="A6" s="2" t="s">
        <v>80</v>
      </c>
      <c r="B6" s="26">
        <v>33039</v>
      </c>
      <c r="C6" s="2">
        <f t="shared" ref="C6:C14" ca="1" si="3">DATEDIF(B6,TODAY(),"MD")</f>
        <v>17</v>
      </c>
      <c r="D6" s="2">
        <f t="shared" ca="1" si="0"/>
        <v>6</v>
      </c>
      <c r="E6" s="2">
        <f t="shared" ca="1" si="1"/>
        <v>35</v>
      </c>
      <c r="F6" s="2" t="str">
        <f ca="1">IF(E6&gt;20,"ADULT","CHILD")</f>
        <v>ADULT</v>
      </c>
      <c r="H6" s="2">
        <f ca="1">DATEDIF(B6,TODAY(),"MD")</f>
        <v>17</v>
      </c>
      <c r="I6" s="2">
        <f ca="1">DATEDIF(B6,TODAY(),"YM")</f>
        <v>6</v>
      </c>
      <c r="J6" s="2">
        <f ca="1">DATEDIF(B6,TODAY(),"Y")</f>
        <v>35</v>
      </c>
      <c r="K6" s="2" t="str">
        <f t="shared" ca="1" si="2"/>
        <v>ADULT</v>
      </c>
    </row>
    <row r="7" spans="1:11">
      <c r="A7" s="2" t="s">
        <v>81</v>
      </c>
      <c r="B7" s="26">
        <v>33840</v>
      </c>
      <c r="C7" s="2">
        <f t="shared" ca="1" si="3"/>
        <v>8</v>
      </c>
      <c r="D7" s="2">
        <f t="shared" ca="1" si="0"/>
        <v>4</v>
      </c>
      <c r="E7" s="2">
        <f t="shared" ca="1" si="1"/>
        <v>33</v>
      </c>
      <c r="F7" s="2" t="str">
        <f ca="1">IF(E7&gt;20,"ADULT","CHILD")</f>
        <v>ADULT</v>
      </c>
      <c r="H7" s="2">
        <f t="shared" ref="H7:H14" ca="1" si="4">DATEDIF(B7,TODAY(),"MD")</f>
        <v>8</v>
      </c>
      <c r="I7" s="2">
        <f t="shared" ref="I7:I14" ca="1" si="5">DATEDIF(B7,TODAY(),"YM")</f>
        <v>4</v>
      </c>
      <c r="J7" s="2">
        <f t="shared" ref="J7:J14" ca="1" si="6">DATEDIF(B7,TODAY(),"Y")</f>
        <v>33</v>
      </c>
      <c r="K7" s="2" t="str">
        <f t="shared" ca="1" si="2"/>
        <v>ADULT</v>
      </c>
    </row>
    <row r="8" spans="1:11">
      <c r="A8" s="2" t="s">
        <v>82</v>
      </c>
      <c r="B8" s="26">
        <v>36030</v>
      </c>
      <c r="C8" s="2">
        <f t="shared" ca="1" si="3"/>
        <v>9</v>
      </c>
      <c r="D8" s="2">
        <f t="shared" ca="1" si="0"/>
        <v>4</v>
      </c>
      <c r="E8" s="2">
        <f t="shared" ca="1" si="1"/>
        <v>27</v>
      </c>
      <c r="F8" s="2" t="str">
        <f ca="1">IF(E8&gt;20,"ADULT","CHILD")</f>
        <v>ADULT</v>
      </c>
      <c r="H8" s="2">
        <f t="shared" ca="1" si="4"/>
        <v>9</v>
      </c>
      <c r="I8" s="2">
        <f t="shared" ca="1" si="5"/>
        <v>4</v>
      </c>
      <c r="J8" s="2">
        <f t="shared" ca="1" si="6"/>
        <v>27</v>
      </c>
      <c r="K8" s="2" t="str">
        <f t="shared" ca="1" si="2"/>
        <v>ADULT</v>
      </c>
    </row>
    <row r="9" spans="1:11">
      <c r="A9" s="2" t="s">
        <v>83</v>
      </c>
      <c r="B9" s="26">
        <v>29385</v>
      </c>
      <c r="C9" s="2">
        <f t="shared" ca="1" si="3"/>
        <v>19</v>
      </c>
      <c r="D9" s="2">
        <f t="shared" ca="1" si="0"/>
        <v>6</v>
      </c>
      <c r="E9" s="2">
        <f t="shared" ca="1" si="1"/>
        <v>45</v>
      </c>
      <c r="F9" s="2" t="str">
        <f ca="1">IF(E9&gt;20,"ADULT","CHILD")</f>
        <v>ADULT</v>
      </c>
      <c r="H9" s="2">
        <f t="shared" ca="1" si="4"/>
        <v>19</v>
      </c>
      <c r="I9" s="2">
        <f t="shared" ca="1" si="5"/>
        <v>6</v>
      </c>
      <c r="J9" s="2">
        <f t="shared" ca="1" si="6"/>
        <v>45</v>
      </c>
      <c r="K9" s="2" t="str">
        <f t="shared" ca="1" si="2"/>
        <v>ADULT</v>
      </c>
    </row>
    <row r="10" spans="1:11">
      <c r="A10" s="2" t="s">
        <v>84</v>
      </c>
      <c r="B10" s="26">
        <v>38429</v>
      </c>
      <c r="C10" s="2">
        <f t="shared" ca="1" si="3"/>
        <v>14</v>
      </c>
      <c r="D10" s="2">
        <f t="shared" ca="1" si="0"/>
        <v>9</v>
      </c>
      <c r="E10" s="2">
        <f t="shared" ca="1" si="1"/>
        <v>20</v>
      </c>
      <c r="F10" s="2" t="str">
        <f ca="1">IF(E10&gt;=20,"ADULT","CHILD")</f>
        <v>ADULT</v>
      </c>
      <c r="H10" s="2">
        <f t="shared" ca="1" si="4"/>
        <v>14</v>
      </c>
      <c r="I10" s="2">
        <f t="shared" ca="1" si="5"/>
        <v>9</v>
      </c>
      <c r="J10" s="2">
        <f t="shared" ca="1" si="6"/>
        <v>20</v>
      </c>
      <c r="K10" s="2" t="str">
        <f ca="1">IF(J10&gt;=20,"ADULT","CHILD")</f>
        <v>ADULT</v>
      </c>
    </row>
    <row r="11" spans="1:11">
      <c r="A11" s="2" t="s">
        <v>85</v>
      </c>
      <c r="B11" s="26">
        <v>38579</v>
      </c>
      <c r="C11" s="2">
        <f t="shared" ca="1" si="3"/>
        <v>17</v>
      </c>
      <c r="D11" s="2">
        <f t="shared" ca="1" si="0"/>
        <v>4</v>
      </c>
      <c r="E11" s="2">
        <f t="shared" ca="1" si="1"/>
        <v>20</v>
      </c>
      <c r="F11" s="2" t="str">
        <f ca="1">IF(E11&gt;=20,"ADULT","CHILD")</f>
        <v>ADULT</v>
      </c>
      <c r="H11" s="2">
        <f t="shared" ca="1" si="4"/>
        <v>17</v>
      </c>
      <c r="I11" s="2">
        <f t="shared" ca="1" si="5"/>
        <v>4</v>
      </c>
      <c r="J11" s="2">
        <f t="shared" ca="1" si="6"/>
        <v>20</v>
      </c>
      <c r="K11" s="2" t="str">
        <f ca="1">IF(J11&gt;=20,"ADULT","CHILD")</f>
        <v>ADULT</v>
      </c>
    </row>
    <row r="12" spans="1:11">
      <c r="A12" s="2" t="s">
        <v>86</v>
      </c>
      <c r="B12" s="26">
        <v>40323</v>
      </c>
      <c r="C12" s="2">
        <f t="shared" ca="1" si="3"/>
        <v>7</v>
      </c>
      <c r="D12" s="2">
        <f t="shared" ca="1" si="0"/>
        <v>7</v>
      </c>
      <c r="E12" s="2">
        <f t="shared" ca="1" si="1"/>
        <v>15</v>
      </c>
      <c r="F12" s="2" t="str">
        <f ca="1">IF(E12&gt;20,"ADULT","CHILD")</f>
        <v>CHILD</v>
      </c>
      <c r="H12" s="2">
        <f t="shared" ca="1" si="4"/>
        <v>7</v>
      </c>
      <c r="I12" s="2">
        <f t="shared" ca="1" si="5"/>
        <v>7</v>
      </c>
      <c r="J12" s="2">
        <f t="shared" ca="1" si="6"/>
        <v>15</v>
      </c>
      <c r="K12" s="2" t="str">
        <f t="shared" ca="1" si="2"/>
        <v>CHILD</v>
      </c>
    </row>
    <row r="13" spans="1:11">
      <c r="A13" s="2" t="s">
        <v>87</v>
      </c>
      <c r="B13" s="26">
        <v>40415</v>
      </c>
      <c r="C13" s="2">
        <f t="shared" ca="1" si="3"/>
        <v>7</v>
      </c>
      <c r="D13" s="2">
        <f t="shared" ca="1" si="0"/>
        <v>4</v>
      </c>
      <c r="E13" s="2">
        <f t="shared" ca="1" si="1"/>
        <v>15</v>
      </c>
      <c r="F13" s="2" t="str">
        <f ca="1">IF(E13&gt;20,"ADULT","CHILD")</f>
        <v>CHILD</v>
      </c>
      <c r="H13" s="2">
        <f t="shared" ca="1" si="4"/>
        <v>7</v>
      </c>
      <c r="I13" s="2">
        <f t="shared" ca="1" si="5"/>
        <v>4</v>
      </c>
      <c r="J13" s="2">
        <f t="shared" ca="1" si="6"/>
        <v>15</v>
      </c>
      <c r="K13" s="2" t="str">
        <f t="shared" ca="1" si="2"/>
        <v>CHILD</v>
      </c>
    </row>
    <row r="14" spans="1:11">
      <c r="A14" s="2" t="s">
        <v>88</v>
      </c>
      <c r="B14" s="26">
        <v>37571</v>
      </c>
      <c r="C14" s="2">
        <f t="shared" ca="1" si="3"/>
        <v>21</v>
      </c>
      <c r="D14" s="2">
        <f t="shared" ca="1" si="0"/>
        <v>1</v>
      </c>
      <c r="E14" s="2">
        <f t="shared" ca="1" si="1"/>
        <v>23</v>
      </c>
      <c r="F14" s="2" t="str">
        <f t="shared" ref="F14" ca="1" si="7">IF(E14&gt;20,"ADULT","CHILD")</f>
        <v>ADULT</v>
      </c>
      <c r="H14" s="2">
        <f t="shared" ca="1" si="4"/>
        <v>21</v>
      </c>
      <c r="I14" s="2">
        <f t="shared" ca="1" si="5"/>
        <v>1</v>
      </c>
      <c r="J14" s="2">
        <f t="shared" ca="1" si="6"/>
        <v>23</v>
      </c>
      <c r="K14" s="2" t="str">
        <f t="shared" ca="1" si="2"/>
        <v>ADULT</v>
      </c>
    </row>
    <row r="16" spans="1:11">
      <c r="A16" t="s">
        <v>137</v>
      </c>
      <c r="C16">
        <f>COUNTA(A4:A14)</f>
        <v>11</v>
      </c>
      <c r="D16">
        <f>COUNTA(A4:A14)</f>
        <v>11</v>
      </c>
    </row>
    <row r="18" spans="1:6">
      <c r="A18" t="s">
        <v>138</v>
      </c>
      <c r="D18">
        <f ca="1">DATEDIF(B13,TODAY(),"Y")</f>
        <v>15</v>
      </c>
      <c r="E18">
        <f ca="1">VLOOKUP(A13,A4:F14,5,0)</f>
        <v>15</v>
      </c>
    </row>
    <row r="21" spans="1:6">
      <c r="A21" t="s">
        <v>139</v>
      </c>
      <c r="E21">
        <f ca="1">COUNTIF(E4:E14,"&gt;20")</f>
        <v>7</v>
      </c>
      <c r="F21">
        <f ca="1">COUNTIF(E4:E14,"&gt;20")</f>
        <v>7</v>
      </c>
    </row>
    <row r="23" spans="1:6">
      <c r="A23" t="s">
        <v>141</v>
      </c>
    </row>
    <row r="25" spans="1:6">
      <c r="A25" t="s">
        <v>142</v>
      </c>
      <c r="E25">
        <f ca="1">COUNTIF(E4:E14,"&gt;=25")</f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F7699-4FBD-4896-A53D-3A45294BFE45}">
  <dimension ref="A1:K29"/>
  <sheetViews>
    <sheetView topLeftCell="A12" workbookViewId="0">
      <selection activeCell="C30" sqref="C30"/>
    </sheetView>
  </sheetViews>
  <sheetFormatPr defaultRowHeight="15"/>
  <cols>
    <col min="1" max="1" width="15.7109375" customWidth="1"/>
    <col min="6" max="7" width="12.140625" customWidth="1"/>
    <col min="10" max="10" width="12.42578125" customWidth="1"/>
  </cols>
  <sheetData>
    <row r="1" spans="1:11" ht="18.75">
      <c r="C1" s="11" t="s">
        <v>143</v>
      </c>
    </row>
    <row r="2" spans="1:11" ht="18.75">
      <c r="B2" s="11" t="s">
        <v>144</v>
      </c>
    </row>
    <row r="3" spans="1:11">
      <c r="J3" t="s">
        <v>1013</v>
      </c>
    </row>
    <row r="4" spans="1:11">
      <c r="A4" s="2" t="s">
        <v>145</v>
      </c>
      <c r="B4" s="2"/>
      <c r="C4" s="2" t="s">
        <v>147</v>
      </c>
      <c r="D4" s="2"/>
      <c r="E4" s="2"/>
      <c r="F4" s="2" t="s">
        <v>96</v>
      </c>
      <c r="G4" s="2"/>
    </row>
    <row r="5" spans="1:11">
      <c r="A5" s="27" t="s">
        <v>59</v>
      </c>
      <c r="B5" s="27" t="s">
        <v>146</v>
      </c>
      <c r="C5" s="27" t="s">
        <v>45</v>
      </c>
      <c r="D5" s="27" t="s">
        <v>46</v>
      </c>
      <c r="E5" s="27" t="s">
        <v>148</v>
      </c>
      <c r="F5" s="27" t="s">
        <v>149</v>
      </c>
      <c r="G5" s="27" t="s">
        <v>29</v>
      </c>
      <c r="I5" s="2" t="s">
        <v>148</v>
      </c>
      <c r="J5" s="2" t="s">
        <v>149</v>
      </c>
      <c r="K5" s="2" t="s">
        <v>29</v>
      </c>
    </row>
    <row r="6" spans="1:11">
      <c r="A6" s="2" t="s">
        <v>150</v>
      </c>
      <c r="B6" s="2">
        <v>80</v>
      </c>
      <c r="C6" s="2">
        <v>75</v>
      </c>
      <c r="D6" s="2">
        <v>85</v>
      </c>
      <c r="E6" s="2">
        <f t="shared" ref="E6:E15" si="0">SUM(B6:D6)</f>
        <v>240</v>
      </c>
      <c r="F6" s="2">
        <f>E6/3</f>
        <v>80</v>
      </c>
      <c r="G6" s="2" t="str">
        <f>IF(F6&gt;70,"EXCELLENT",IF(F6&gt;50,"GOOD","BAD"))</f>
        <v>EXCELLENT</v>
      </c>
      <c r="I6" s="2">
        <f>SUM(B6:D6)</f>
        <v>240</v>
      </c>
      <c r="J6" s="2">
        <f>I6/3</f>
        <v>80</v>
      </c>
      <c r="K6" s="2" t="str">
        <f>IF(J6&gt;=80,"EXCELLENT",IF(J6&gt;50,"GOOD","BAD"))</f>
        <v>EXCELLENT</v>
      </c>
    </row>
    <row r="7" spans="1:11">
      <c r="A7" s="2" t="s">
        <v>151</v>
      </c>
      <c r="B7" s="2">
        <v>50</v>
      </c>
      <c r="C7" s="2">
        <v>30</v>
      </c>
      <c r="D7" s="2">
        <v>40</v>
      </c>
      <c r="E7" s="2">
        <f t="shared" si="0"/>
        <v>120</v>
      </c>
      <c r="F7" s="2">
        <f t="shared" ref="F7:F15" si="1">E7/3</f>
        <v>40</v>
      </c>
      <c r="G7" s="2" t="str">
        <f>IF(F7&gt;70,"EXXCELLENT",IF(F7&gt;50,"GOOD","BAD"))</f>
        <v>BAD</v>
      </c>
      <c r="I7" s="2">
        <f>SUM(B7:D7)</f>
        <v>120</v>
      </c>
      <c r="J7" s="2">
        <f t="shared" ref="J7:J15" si="2">I7/3</f>
        <v>40</v>
      </c>
      <c r="K7" s="2" t="str">
        <f t="shared" ref="K7:K15" si="3">IF(J7&gt;=80,"EXCELLENT",IF(J7&gt;50,"GOOD","BAD"))</f>
        <v>BAD</v>
      </c>
    </row>
    <row r="8" spans="1:11">
      <c r="A8" s="2" t="s">
        <v>152</v>
      </c>
      <c r="B8" s="2">
        <v>60</v>
      </c>
      <c r="C8" s="2">
        <v>70</v>
      </c>
      <c r="D8" s="2" t="s">
        <v>160</v>
      </c>
      <c r="E8" s="2">
        <f t="shared" si="0"/>
        <v>130</v>
      </c>
      <c r="F8" s="2">
        <f t="shared" si="1"/>
        <v>43.333333333333336</v>
      </c>
      <c r="G8" s="2" t="str">
        <f>IF(F8&gt;70,"EXCELLENT",IF(F8&gt;50,"GOOD","BAD"))</f>
        <v>BAD</v>
      </c>
      <c r="I8" s="2">
        <f>SUM(B8:D8)</f>
        <v>130</v>
      </c>
      <c r="J8" s="2">
        <f t="shared" si="2"/>
        <v>43.333333333333336</v>
      </c>
      <c r="K8" s="2" t="str">
        <f t="shared" si="3"/>
        <v>BAD</v>
      </c>
    </row>
    <row r="9" spans="1:11">
      <c r="A9" s="2" t="s">
        <v>153</v>
      </c>
      <c r="B9" s="2">
        <v>90</v>
      </c>
      <c r="C9" s="2">
        <v>85</v>
      </c>
      <c r="D9" s="2">
        <v>95</v>
      </c>
      <c r="E9" s="2">
        <f t="shared" si="0"/>
        <v>270</v>
      </c>
      <c r="F9" s="2">
        <f t="shared" si="1"/>
        <v>90</v>
      </c>
      <c r="G9" s="2" t="str">
        <f>IF(F9&gt;70,"EXCELLENT",IF(F9&gt;50&lt;"GOOD","BAD"))</f>
        <v>EXCELLENT</v>
      </c>
      <c r="I9" s="2">
        <f t="shared" ref="I9:I15" si="4">SUM(B9:D9)</f>
        <v>270</v>
      </c>
      <c r="J9" s="2">
        <f t="shared" si="2"/>
        <v>90</v>
      </c>
      <c r="K9" s="2" t="str">
        <f t="shared" si="3"/>
        <v>EXCELLENT</v>
      </c>
    </row>
    <row r="10" spans="1:11">
      <c r="A10" s="2" t="s">
        <v>154</v>
      </c>
      <c r="B10" s="2">
        <v>20</v>
      </c>
      <c r="C10" s="2">
        <v>30</v>
      </c>
      <c r="D10" s="2" t="s">
        <v>160</v>
      </c>
      <c r="E10" s="2">
        <f t="shared" si="0"/>
        <v>50</v>
      </c>
      <c r="F10" s="2">
        <f t="shared" si="1"/>
        <v>16.666666666666668</v>
      </c>
      <c r="G10" s="2" t="str">
        <f t="shared" ref="G10:G15" si="5">IF(F10&gt;70,"EXCELLENT",IF(F10&gt;50,"GOOD","BAD"))</f>
        <v>BAD</v>
      </c>
      <c r="I10" s="2">
        <f t="shared" si="4"/>
        <v>50</v>
      </c>
      <c r="J10" s="2">
        <f t="shared" si="2"/>
        <v>16.666666666666668</v>
      </c>
      <c r="K10" s="2" t="str">
        <f t="shared" si="3"/>
        <v>BAD</v>
      </c>
    </row>
    <row r="11" spans="1:11">
      <c r="A11" s="2" t="s">
        <v>155</v>
      </c>
      <c r="B11" s="2">
        <v>40</v>
      </c>
      <c r="C11" s="2">
        <v>60</v>
      </c>
      <c r="D11" s="2">
        <v>80</v>
      </c>
      <c r="E11" s="2">
        <f t="shared" si="0"/>
        <v>180</v>
      </c>
      <c r="F11" s="2">
        <f t="shared" si="1"/>
        <v>60</v>
      </c>
      <c r="G11" s="2" t="str">
        <f t="shared" si="5"/>
        <v>GOOD</v>
      </c>
      <c r="I11" s="2">
        <f t="shared" si="4"/>
        <v>180</v>
      </c>
      <c r="J11" s="2">
        <f t="shared" si="2"/>
        <v>60</v>
      </c>
      <c r="K11" s="2" t="str">
        <f t="shared" si="3"/>
        <v>GOOD</v>
      </c>
    </row>
    <row r="12" spans="1:11">
      <c r="A12" s="2" t="s">
        <v>156</v>
      </c>
      <c r="B12" s="2">
        <v>10</v>
      </c>
      <c r="C12" s="2">
        <v>90</v>
      </c>
      <c r="D12" s="2">
        <v>80</v>
      </c>
      <c r="E12" s="2">
        <f t="shared" si="0"/>
        <v>180</v>
      </c>
      <c r="F12" s="2">
        <f t="shared" si="1"/>
        <v>60</v>
      </c>
      <c r="G12" s="2" t="str">
        <f t="shared" si="5"/>
        <v>GOOD</v>
      </c>
      <c r="I12" s="2">
        <f t="shared" si="4"/>
        <v>180</v>
      </c>
      <c r="J12" s="2">
        <f t="shared" si="2"/>
        <v>60</v>
      </c>
      <c r="K12" s="2" t="str">
        <f t="shared" si="3"/>
        <v>GOOD</v>
      </c>
    </row>
    <row r="13" spans="1:11">
      <c r="A13" s="2" t="s">
        <v>157</v>
      </c>
      <c r="B13" s="2">
        <v>80</v>
      </c>
      <c r="C13" s="2">
        <v>70</v>
      </c>
      <c r="D13" s="2">
        <v>60</v>
      </c>
      <c r="E13" s="2">
        <f t="shared" si="0"/>
        <v>210</v>
      </c>
      <c r="F13" s="2">
        <f t="shared" si="1"/>
        <v>70</v>
      </c>
      <c r="G13" s="2" t="str">
        <f t="shared" si="5"/>
        <v>GOOD</v>
      </c>
      <c r="I13" s="2">
        <f t="shared" si="4"/>
        <v>210</v>
      </c>
      <c r="J13" s="2">
        <f t="shared" si="2"/>
        <v>70</v>
      </c>
      <c r="K13" s="2" t="str">
        <f t="shared" si="3"/>
        <v>GOOD</v>
      </c>
    </row>
    <row r="14" spans="1:11">
      <c r="A14" s="2" t="s">
        <v>158</v>
      </c>
      <c r="B14" s="2">
        <v>30</v>
      </c>
      <c r="C14" s="2">
        <v>10</v>
      </c>
      <c r="D14" s="2">
        <v>20</v>
      </c>
      <c r="E14" s="2">
        <f t="shared" si="0"/>
        <v>60</v>
      </c>
      <c r="F14" s="2">
        <f t="shared" si="1"/>
        <v>20</v>
      </c>
      <c r="G14" s="2" t="str">
        <f t="shared" si="5"/>
        <v>BAD</v>
      </c>
      <c r="I14" s="2">
        <f t="shared" si="4"/>
        <v>60</v>
      </c>
      <c r="J14" s="2">
        <f t="shared" si="2"/>
        <v>20</v>
      </c>
      <c r="K14" s="2" t="str">
        <f t="shared" si="3"/>
        <v>BAD</v>
      </c>
    </row>
    <row r="15" spans="1:11">
      <c r="A15" s="2" t="s">
        <v>159</v>
      </c>
      <c r="B15" s="2">
        <v>10</v>
      </c>
      <c r="C15" s="2">
        <v>20</v>
      </c>
      <c r="D15" s="2">
        <v>30</v>
      </c>
      <c r="E15" s="2">
        <f t="shared" si="0"/>
        <v>60</v>
      </c>
      <c r="F15" s="2">
        <f t="shared" si="1"/>
        <v>20</v>
      </c>
      <c r="G15" s="2" t="str">
        <f t="shared" si="5"/>
        <v>BAD</v>
      </c>
      <c r="I15" s="2">
        <f t="shared" si="4"/>
        <v>60</v>
      </c>
      <c r="J15" s="2">
        <f t="shared" si="2"/>
        <v>20</v>
      </c>
      <c r="K15" s="2" t="str">
        <f t="shared" si="3"/>
        <v>BAD</v>
      </c>
    </row>
    <row r="18" spans="1:8">
      <c r="A18" t="s">
        <v>161</v>
      </c>
      <c r="C18">
        <f>COUNTA(A6:A15)</f>
        <v>10</v>
      </c>
      <c r="D18">
        <f>COUNTA(A6:A15)</f>
        <v>10</v>
      </c>
    </row>
    <row r="20" spans="1:8">
      <c r="A20" t="s">
        <v>162</v>
      </c>
      <c r="G20">
        <f>COUNTIF(F6:F15,"&gt;50")</f>
        <v>5</v>
      </c>
      <c r="H20">
        <f>COUNTIF(F6:F15,"&gt;50")</f>
        <v>5</v>
      </c>
    </row>
    <row r="21" spans="1:8">
      <c r="E21" t="s">
        <v>148</v>
      </c>
    </row>
    <row r="22" spans="1:8">
      <c r="A22" t="s">
        <v>163</v>
      </c>
      <c r="E22">
        <f>VLOOKUP(G22,A6:E15,5,FALSE)</f>
        <v>120</v>
      </c>
      <c r="G22" t="s">
        <v>151</v>
      </c>
    </row>
    <row r="23" spans="1:8">
      <c r="E23">
        <f ca="1">SUMIF(A6:E15,"BOB",E6:E15)+SUMIF(A6:E15,"ERIC",E6:E15)</f>
        <v>170</v>
      </c>
    </row>
    <row r="24" spans="1:8">
      <c r="A24" t="s">
        <v>164</v>
      </c>
    </row>
    <row r="26" spans="1:8">
      <c r="A26" t="s">
        <v>165</v>
      </c>
    </row>
    <row r="27" spans="1:8">
      <c r="B27" t="s">
        <v>166</v>
      </c>
      <c r="C27" t="s">
        <v>167</v>
      </c>
    </row>
    <row r="28" spans="1:8">
      <c r="B28">
        <f>COUNTIF(G6:G15,"GOOD")</f>
        <v>3</v>
      </c>
      <c r="C28">
        <f>COUNTIF(G6:G15,"BAD")</f>
        <v>5</v>
      </c>
    </row>
    <row r="29" spans="1:8">
      <c r="B29">
        <f>COUNTIF(K6:K15,"GOOD")</f>
        <v>3</v>
      </c>
      <c r="C29">
        <f>COUNTIF(K6:K15,"BAD")</f>
        <v>5</v>
      </c>
    </row>
  </sheetData>
  <dataValidations count="1">
    <dataValidation type="list" allowBlank="1" showInputMessage="1" showErrorMessage="1" sqref="G22" xr:uid="{7B29B3BA-42B9-4DC5-AD2E-B9F38E7A962B}">
      <formula1>$A$6:$A$15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D52DD-C766-4E80-B598-122105353ADE}">
  <dimension ref="A1:I15"/>
  <sheetViews>
    <sheetView workbookViewId="0">
      <selection activeCell="K13" sqref="K13"/>
    </sheetView>
  </sheetViews>
  <sheetFormatPr defaultRowHeight="15"/>
  <cols>
    <col min="1" max="1" width="12.85546875" customWidth="1"/>
    <col min="2" max="2" width="12.140625" customWidth="1"/>
    <col min="3" max="3" width="12" customWidth="1"/>
    <col min="6" max="6" width="13" customWidth="1"/>
  </cols>
  <sheetData>
    <row r="1" spans="1:9">
      <c r="C1" t="s">
        <v>168</v>
      </c>
    </row>
    <row r="3" spans="1:9">
      <c r="A3" s="241" t="s">
        <v>169</v>
      </c>
      <c r="B3" s="241" t="s">
        <v>170</v>
      </c>
      <c r="C3" s="241" t="s">
        <v>171</v>
      </c>
      <c r="F3" s="241" t="s">
        <v>169</v>
      </c>
      <c r="G3" s="241" t="s">
        <v>172</v>
      </c>
      <c r="H3" s="241" t="s">
        <v>173</v>
      </c>
      <c r="I3" s="241" t="s">
        <v>174</v>
      </c>
    </row>
    <row r="4" spans="1:9">
      <c r="A4" s="223">
        <v>110608</v>
      </c>
      <c r="B4" s="2" t="s">
        <v>175</v>
      </c>
      <c r="C4" s="2" t="s">
        <v>187</v>
      </c>
      <c r="F4" s="223">
        <v>602693</v>
      </c>
      <c r="G4" s="224">
        <v>84289</v>
      </c>
      <c r="H4" s="2" t="str">
        <f>VLOOKUP(F4,$A$3:$C$15,3,0)</f>
        <v>MICHAEL</v>
      </c>
      <c r="I4" s="2" t="str">
        <f>VLOOKUP(F4,$A$3:$C$15,2,0)</f>
        <v>VICK</v>
      </c>
    </row>
    <row r="5" spans="1:9">
      <c r="A5" s="223">
        <v>253071</v>
      </c>
      <c r="B5" s="2" t="s">
        <v>176</v>
      </c>
      <c r="C5" s="2" t="s">
        <v>175</v>
      </c>
      <c r="F5" s="223">
        <v>611810</v>
      </c>
      <c r="G5" s="2" t="s">
        <v>195</v>
      </c>
      <c r="H5" s="2" t="str">
        <f t="shared" ref="H5:H15" si="0">VLOOKUP(F5,$A$3:$C$15,3,0)</f>
        <v>TIGER</v>
      </c>
      <c r="I5" s="2" t="str">
        <f t="shared" ref="I5:I15" si="1">VLOOKUP(F5,$A$3:$C$15,2,0)</f>
        <v>WOODS</v>
      </c>
    </row>
    <row r="6" spans="1:9">
      <c r="A6" s="223">
        <v>352711</v>
      </c>
      <c r="B6" s="2" t="s">
        <v>177</v>
      </c>
      <c r="C6" s="2" t="s">
        <v>187</v>
      </c>
      <c r="F6" s="223">
        <v>549457</v>
      </c>
      <c r="G6" s="2" t="s">
        <v>196</v>
      </c>
      <c r="H6" s="2" t="str">
        <f t="shared" si="0"/>
        <v>JOHN</v>
      </c>
      <c r="I6" s="2" t="str">
        <f t="shared" si="1"/>
        <v>ELWAY</v>
      </c>
    </row>
    <row r="7" spans="1:9">
      <c r="A7" s="223">
        <v>391006</v>
      </c>
      <c r="B7" s="2" t="s">
        <v>178</v>
      </c>
      <c r="C7" s="2" t="s">
        <v>188</v>
      </c>
      <c r="F7" s="223">
        <v>612235</v>
      </c>
      <c r="G7" s="2" t="s">
        <v>197</v>
      </c>
      <c r="H7" s="2" t="str">
        <f t="shared" si="0"/>
        <v>MICHAEL</v>
      </c>
      <c r="I7" s="2" t="str">
        <f t="shared" si="1"/>
        <v>JORDAN</v>
      </c>
    </row>
    <row r="8" spans="1:9">
      <c r="A8" s="223">
        <v>392128</v>
      </c>
      <c r="B8" s="2" t="s">
        <v>179</v>
      </c>
      <c r="C8" s="2" t="s">
        <v>189</v>
      </c>
      <c r="F8" s="223">
        <v>580622</v>
      </c>
      <c r="G8" s="2" t="s">
        <v>198</v>
      </c>
      <c r="H8" s="2" t="str">
        <f t="shared" si="0"/>
        <v>ELI</v>
      </c>
      <c r="I8" s="2" t="str">
        <f t="shared" si="1"/>
        <v>MANNING</v>
      </c>
    </row>
    <row r="9" spans="1:9">
      <c r="A9" s="223">
        <v>549457</v>
      </c>
      <c r="B9" s="2" t="s">
        <v>180</v>
      </c>
      <c r="C9" s="2" t="s">
        <v>187</v>
      </c>
      <c r="F9" s="223">
        <v>830385</v>
      </c>
      <c r="G9" s="224">
        <v>85931</v>
      </c>
      <c r="H9" s="2" t="str">
        <f t="shared" si="0"/>
        <v>PRINCE</v>
      </c>
      <c r="I9" s="2" t="str">
        <f t="shared" si="1"/>
        <v>WILLIAMS</v>
      </c>
    </row>
    <row r="10" spans="1:9">
      <c r="A10" s="223">
        <v>580622</v>
      </c>
      <c r="B10" s="2" t="s">
        <v>181</v>
      </c>
      <c r="C10" s="2" t="s">
        <v>190</v>
      </c>
      <c r="F10" s="223">
        <v>253071</v>
      </c>
      <c r="G10" s="2" t="s">
        <v>199</v>
      </c>
      <c r="H10" s="2" t="str">
        <f t="shared" si="0"/>
        <v>DOE</v>
      </c>
      <c r="I10" s="2" t="str">
        <f t="shared" si="1"/>
        <v>CLINE</v>
      </c>
    </row>
    <row r="11" spans="1:9">
      <c r="A11" s="223">
        <v>602693</v>
      </c>
      <c r="B11" s="2" t="s">
        <v>182</v>
      </c>
      <c r="C11" s="2" t="s">
        <v>191</v>
      </c>
      <c r="F11" s="223">
        <v>391006</v>
      </c>
      <c r="G11" s="224">
        <v>89627</v>
      </c>
      <c r="H11" s="2" t="str">
        <f t="shared" si="0"/>
        <v>PETER</v>
      </c>
      <c r="I11" s="2" t="str">
        <f t="shared" si="1"/>
        <v>PAN</v>
      </c>
    </row>
    <row r="12" spans="1:9">
      <c r="A12" s="223">
        <v>611810</v>
      </c>
      <c r="B12" s="2" t="s">
        <v>183</v>
      </c>
      <c r="C12" s="2" t="s">
        <v>192</v>
      </c>
      <c r="F12" s="223">
        <v>990678</v>
      </c>
      <c r="G12" s="2" t="s">
        <v>200</v>
      </c>
      <c r="H12" s="2" t="e">
        <f t="shared" si="0"/>
        <v>#N/A</v>
      </c>
      <c r="I12" s="2" t="e">
        <f t="shared" si="1"/>
        <v>#N/A</v>
      </c>
    </row>
    <row r="13" spans="1:9">
      <c r="A13" s="223">
        <v>612235</v>
      </c>
      <c r="B13" s="2" t="s">
        <v>184</v>
      </c>
      <c r="C13" s="2" t="s">
        <v>191</v>
      </c>
      <c r="F13" s="223">
        <v>795574</v>
      </c>
      <c r="G13" s="224" t="s">
        <v>201</v>
      </c>
      <c r="H13" s="2" t="str">
        <f t="shared" si="0"/>
        <v>TONY</v>
      </c>
      <c r="I13" s="2" t="str">
        <f t="shared" si="1"/>
        <v>STARK</v>
      </c>
    </row>
    <row r="14" spans="1:9">
      <c r="A14" s="223">
        <v>795574</v>
      </c>
      <c r="B14" s="2" t="s">
        <v>185</v>
      </c>
      <c r="C14" s="2" t="s">
        <v>193</v>
      </c>
      <c r="F14" s="223">
        <v>392128</v>
      </c>
      <c r="G14" s="224">
        <v>64757</v>
      </c>
      <c r="H14" s="2" t="str">
        <f t="shared" si="0"/>
        <v>BRET</v>
      </c>
      <c r="I14" s="2" t="str">
        <f t="shared" si="1"/>
        <v>FAVRE</v>
      </c>
    </row>
    <row r="15" spans="1:9">
      <c r="A15" s="223">
        <v>830385</v>
      </c>
      <c r="B15" s="2" t="s">
        <v>186</v>
      </c>
      <c r="C15" s="2" t="s">
        <v>194</v>
      </c>
      <c r="F15" s="223">
        <v>352711</v>
      </c>
      <c r="G15" s="224">
        <v>71478</v>
      </c>
      <c r="H15" s="2" t="str">
        <f t="shared" si="0"/>
        <v>JOHN</v>
      </c>
      <c r="I15" s="2" t="str">
        <f t="shared" si="1"/>
        <v>SMITH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1290E-DA8F-43D4-A690-DE297373E194}">
  <dimension ref="A1:F30"/>
  <sheetViews>
    <sheetView topLeftCell="A4" workbookViewId="0">
      <selection activeCell="D31" sqref="D31"/>
    </sheetView>
  </sheetViews>
  <sheetFormatPr defaultRowHeight="15"/>
  <cols>
    <col min="1" max="1" width="14.28515625" customWidth="1"/>
    <col min="2" max="2" width="21.85546875" customWidth="1"/>
    <col min="3" max="3" width="20.42578125" customWidth="1"/>
    <col min="4" max="4" width="20.85546875" customWidth="1"/>
    <col min="5" max="5" width="17" customWidth="1"/>
    <col min="6" max="6" width="15.5703125" customWidth="1"/>
  </cols>
  <sheetData>
    <row r="1" spans="1:6" ht="18.75">
      <c r="C1" s="11" t="s">
        <v>202</v>
      </c>
    </row>
    <row r="3" spans="1:6">
      <c r="A3" s="7" t="s">
        <v>203</v>
      </c>
      <c r="B3" s="7" t="s">
        <v>204</v>
      </c>
      <c r="C3" s="7" t="s">
        <v>205</v>
      </c>
      <c r="D3" s="7" t="s">
        <v>58</v>
      </c>
      <c r="E3" s="7" t="s">
        <v>206</v>
      </c>
      <c r="F3" s="7" t="s">
        <v>207</v>
      </c>
    </row>
    <row r="4" spans="1:6">
      <c r="A4" s="29" t="s">
        <v>208</v>
      </c>
      <c r="B4" s="29" t="s">
        <v>222</v>
      </c>
      <c r="C4" s="29" t="s">
        <v>236</v>
      </c>
      <c r="D4" s="29" t="s">
        <v>250</v>
      </c>
      <c r="E4" s="30">
        <v>39474</v>
      </c>
      <c r="F4" s="31">
        <v>73500</v>
      </c>
    </row>
    <row r="5" spans="1:6">
      <c r="A5" s="29" t="s">
        <v>209</v>
      </c>
      <c r="B5" s="29" t="s">
        <v>223</v>
      </c>
      <c r="C5" s="29" t="s">
        <v>237</v>
      </c>
      <c r="D5" s="29" t="s">
        <v>251</v>
      </c>
      <c r="E5" s="30">
        <v>39508</v>
      </c>
      <c r="F5" s="31">
        <v>80000</v>
      </c>
    </row>
    <row r="6" spans="1:6">
      <c r="A6" s="29" t="s">
        <v>210</v>
      </c>
      <c r="B6" s="29" t="s">
        <v>224</v>
      </c>
      <c r="C6" s="29" t="s">
        <v>238</v>
      </c>
      <c r="D6" s="29" t="s">
        <v>250</v>
      </c>
      <c r="E6" s="30">
        <v>39554</v>
      </c>
      <c r="F6" s="31">
        <v>95000</v>
      </c>
    </row>
    <row r="7" spans="1:6">
      <c r="A7" s="29" t="s">
        <v>211</v>
      </c>
      <c r="B7" s="29" t="s">
        <v>225</v>
      </c>
      <c r="C7" s="29" t="s">
        <v>239</v>
      </c>
      <c r="D7" s="29" t="s">
        <v>250</v>
      </c>
      <c r="E7" s="30">
        <v>39571</v>
      </c>
      <c r="F7" s="33">
        <v>105000</v>
      </c>
    </row>
    <row r="8" spans="1:6">
      <c r="A8" s="29" t="s">
        <v>212</v>
      </c>
      <c r="B8" s="29" t="s">
        <v>226</v>
      </c>
      <c r="C8" s="29" t="s">
        <v>240</v>
      </c>
      <c r="D8" s="29" t="s">
        <v>252</v>
      </c>
      <c r="E8" s="30">
        <v>39640</v>
      </c>
      <c r="F8" s="31">
        <v>90000</v>
      </c>
    </row>
    <row r="9" spans="1:6">
      <c r="A9" s="29" t="s">
        <v>213</v>
      </c>
      <c r="B9" s="29" t="s">
        <v>227</v>
      </c>
      <c r="C9" s="29" t="s">
        <v>241</v>
      </c>
      <c r="D9" s="29" t="s">
        <v>61</v>
      </c>
      <c r="E9" s="30">
        <v>39646</v>
      </c>
      <c r="F9" s="31">
        <v>60000</v>
      </c>
    </row>
    <row r="10" spans="1:6">
      <c r="A10" s="29" t="s">
        <v>214</v>
      </c>
      <c r="B10" s="29" t="s">
        <v>228</v>
      </c>
      <c r="C10" s="29" t="s">
        <v>242</v>
      </c>
      <c r="D10" s="29" t="s">
        <v>61</v>
      </c>
      <c r="E10" s="30">
        <v>39726</v>
      </c>
      <c r="F10" s="31">
        <v>87000</v>
      </c>
    </row>
    <row r="11" spans="1:6">
      <c r="A11" s="29" t="s">
        <v>215</v>
      </c>
      <c r="B11" s="29" t="s">
        <v>229</v>
      </c>
      <c r="C11" s="29" t="s">
        <v>243</v>
      </c>
      <c r="D11" s="29" t="s">
        <v>252</v>
      </c>
      <c r="E11" s="30">
        <v>39749</v>
      </c>
      <c r="F11" s="32" t="s">
        <v>254</v>
      </c>
    </row>
    <row r="12" spans="1:6">
      <c r="A12" s="29" t="s">
        <v>216</v>
      </c>
      <c r="B12" s="29" t="s">
        <v>230</v>
      </c>
      <c r="C12" s="29" t="s">
        <v>244</v>
      </c>
      <c r="D12" s="29" t="s">
        <v>250</v>
      </c>
      <c r="E12" s="30">
        <v>39757</v>
      </c>
      <c r="F12" s="31">
        <v>3800</v>
      </c>
    </row>
    <row r="13" spans="1:6">
      <c r="A13" s="29" t="s">
        <v>217</v>
      </c>
      <c r="B13" s="29" t="s">
        <v>231</v>
      </c>
      <c r="C13" s="29" t="s">
        <v>245</v>
      </c>
      <c r="D13" s="29" t="s">
        <v>250</v>
      </c>
      <c r="E13" s="30">
        <v>39791</v>
      </c>
      <c r="F13" s="31">
        <v>93000</v>
      </c>
    </row>
    <row r="14" spans="1:6">
      <c r="A14" s="29" t="s">
        <v>218</v>
      </c>
      <c r="B14" s="29" t="s">
        <v>232</v>
      </c>
      <c r="C14" s="29" t="s">
        <v>246</v>
      </c>
      <c r="D14" s="29" t="s">
        <v>251</v>
      </c>
      <c r="E14" s="30">
        <v>39856</v>
      </c>
      <c r="F14" s="31">
        <v>1800</v>
      </c>
    </row>
    <row r="15" spans="1:6">
      <c r="A15" s="29" t="s">
        <v>219</v>
      </c>
      <c r="B15" s="29" t="s">
        <v>233</v>
      </c>
      <c r="C15" s="29" t="s">
        <v>247</v>
      </c>
      <c r="D15" s="29" t="s">
        <v>250</v>
      </c>
      <c r="E15" s="30">
        <v>39891</v>
      </c>
      <c r="F15" s="31">
        <v>1000</v>
      </c>
    </row>
    <row r="16" spans="1:6">
      <c r="A16" s="29" t="s">
        <v>220</v>
      </c>
      <c r="B16" s="29" t="s">
        <v>234</v>
      </c>
      <c r="C16" s="29" t="s">
        <v>248</v>
      </c>
      <c r="D16" s="29" t="s">
        <v>253</v>
      </c>
      <c r="E16" s="30">
        <v>39916</v>
      </c>
      <c r="F16" s="32" t="s">
        <v>255</v>
      </c>
    </row>
    <row r="17" spans="1:6">
      <c r="A17" s="29" t="s">
        <v>221</v>
      </c>
      <c r="B17" s="29" t="s">
        <v>235</v>
      </c>
      <c r="C17" s="29" t="s">
        <v>249</v>
      </c>
      <c r="D17" s="29" t="s">
        <v>250</v>
      </c>
      <c r="E17" s="30">
        <v>39931</v>
      </c>
      <c r="F17" s="31">
        <v>68000</v>
      </c>
    </row>
    <row r="20" spans="1:6">
      <c r="A20" t="s">
        <v>256</v>
      </c>
      <c r="C20">
        <f>COUNTA(A4:A17)</f>
        <v>14</v>
      </c>
    </row>
    <row r="22" spans="1:6">
      <c r="A22" t="s">
        <v>257</v>
      </c>
    </row>
    <row r="24" spans="1:6">
      <c r="C24">
        <f>COUNTIF(D4:D17,"MARKETING")+COUNTIF(D4:D17,"FINANCE")</f>
        <v>9</v>
      </c>
    </row>
    <row r="25" spans="1:6">
      <c r="D25" t="s">
        <v>58</v>
      </c>
      <c r="E25" t="s">
        <v>259</v>
      </c>
    </row>
    <row r="26" spans="1:6">
      <c r="A26" t="s">
        <v>258</v>
      </c>
      <c r="D26" t="str">
        <f>VLOOKUP(A8,A4:F17,4,FALSE)</f>
        <v>ENGINEERING</v>
      </c>
      <c r="E26">
        <f>VLOOKUP(A8,A4:F17,6,FALSE)</f>
        <v>90000</v>
      </c>
    </row>
    <row r="28" spans="1:6">
      <c r="A28" t="s">
        <v>260</v>
      </c>
      <c r="C28" t="str">
        <f>VLOOKUP(A8,A4:F17,3,FALSE)</f>
        <v>245-18-5890</v>
      </c>
    </row>
    <row r="30" spans="1:6">
      <c r="A30" t="s">
        <v>261</v>
      </c>
      <c r="D30">
        <f>SUMIF(D4:D17,"MARKETING",F4:F17)</f>
        <v>439300</v>
      </c>
    </row>
  </sheetData>
  <phoneticPr fontId="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1AF58-36A4-440E-B65A-665C56CEC3A1}">
  <dimension ref="A1:J16"/>
  <sheetViews>
    <sheetView workbookViewId="0">
      <selection activeCell="F17" sqref="F17"/>
    </sheetView>
  </sheetViews>
  <sheetFormatPr defaultRowHeight="15"/>
  <cols>
    <col min="1" max="1" width="16.5703125" customWidth="1"/>
    <col min="2" max="9" width="9.28515625" bestFit="1" customWidth="1"/>
    <col min="10" max="10" width="9.5703125" bestFit="1" customWidth="1"/>
  </cols>
  <sheetData>
    <row r="1" spans="1:10" ht="18.75">
      <c r="C1" s="11" t="s">
        <v>282</v>
      </c>
      <c r="D1" s="11"/>
    </row>
    <row r="2" spans="1:10" ht="18.75">
      <c r="C2" s="11" t="s">
        <v>283</v>
      </c>
      <c r="D2" s="11"/>
      <c r="E2" s="11"/>
      <c r="F2" s="11"/>
    </row>
    <row r="3" spans="1:10" ht="15.75">
      <c r="A3" s="37" t="s">
        <v>264</v>
      </c>
      <c r="B3" s="37" t="s">
        <v>265</v>
      </c>
      <c r="C3" s="37" t="s">
        <v>266</v>
      </c>
      <c r="D3" s="37" t="s">
        <v>267</v>
      </c>
      <c r="E3" s="37" t="s">
        <v>268</v>
      </c>
      <c r="F3" s="37" t="s">
        <v>269</v>
      </c>
      <c r="G3" s="37" t="s">
        <v>270</v>
      </c>
      <c r="H3" s="37" t="s">
        <v>271</v>
      </c>
      <c r="I3" s="37" t="s">
        <v>272</v>
      </c>
      <c r="J3" s="37" t="s">
        <v>262</v>
      </c>
    </row>
    <row r="4" spans="1:10" ht="15.75">
      <c r="A4" s="38" t="s">
        <v>273</v>
      </c>
      <c r="B4" s="39">
        <v>2773</v>
      </c>
      <c r="C4" s="39">
        <v>17462</v>
      </c>
      <c r="D4" s="39">
        <v>5954</v>
      </c>
      <c r="E4" s="39">
        <v>1348</v>
      </c>
      <c r="F4" s="39">
        <v>28158</v>
      </c>
      <c r="G4" s="39">
        <v>28799</v>
      </c>
      <c r="H4" s="39">
        <v>25415</v>
      </c>
      <c r="I4" s="39">
        <v>17227</v>
      </c>
      <c r="J4" s="38" t="s">
        <v>274</v>
      </c>
    </row>
    <row r="5" spans="1:10" ht="15.75">
      <c r="A5" s="38" t="s">
        <v>275</v>
      </c>
      <c r="B5" s="39">
        <v>12908</v>
      </c>
      <c r="C5" s="39">
        <v>3083</v>
      </c>
      <c r="D5" s="39">
        <v>24492</v>
      </c>
      <c r="E5" s="39">
        <v>5825</v>
      </c>
      <c r="F5" s="39">
        <v>1080</v>
      </c>
      <c r="G5" s="39">
        <v>2188</v>
      </c>
      <c r="H5" s="39">
        <v>11087</v>
      </c>
      <c r="I5" s="39">
        <v>15544</v>
      </c>
      <c r="J5" s="39">
        <f t="shared" ref="J5:J11" si="0">SUM(B5:I5)</f>
        <v>76207</v>
      </c>
    </row>
    <row r="6" spans="1:10" ht="15.75">
      <c r="A6" s="38" t="s">
        <v>276</v>
      </c>
      <c r="B6" s="39">
        <v>6554</v>
      </c>
      <c r="C6" s="39">
        <v>14262</v>
      </c>
      <c r="D6" s="39">
        <v>8377</v>
      </c>
      <c r="E6" s="39">
        <v>24982</v>
      </c>
      <c r="F6" s="39">
        <v>12184</v>
      </c>
      <c r="G6" s="39">
        <v>6430</v>
      </c>
      <c r="H6" s="39">
        <v>21159</v>
      </c>
      <c r="I6" s="39">
        <v>18597</v>
      </c>
      <c r="J6" s="39">
        <f t="shared" si="0"/>
        <v>112545</v>
      </c>
    </row>
    <row r="7" spans="1:10" ht="15.75">
      <c r="A7" s="38" t="s">
        <v>277</v>
      </c>
      <c r="B7" s="39">
        <v>28913</v>
      </c>
      <c r="C7" s="39">
        <v>1437</v>
      </c>
      <c r="D7" s="39">
        <v>20019</v>
      </c>
      <c r="E7" s="39">
        <v>13026</v>
      </c>
      <c r="F7" s="39">
        <v>26952</v>
      </c>
      <c r="G7" s="39">
        <v>27076</v>
      </c>
      <c r="H7" s="39">
        <v>7040</v>
      </c>
      <c r="I7" s="39">
        <v>10884</v>
      </c>
      <c r="J7" s="39">
        <f t="shared" si="0"/>
        <v>135347</v>
      </c>
    </row>
    <row r="8" spans="1:10" ht="15.75">
      <c r="A8" s="38" t="s">
        <v>278</v>
      </c>
      <c r="B8" s="39">
        <v>4768</v>
      </c>
      <c r="C8" s="39">
        <v>7622</v>
      </c>
      <c r="D8" s="39">
        <v>28918</v>
      </c>
      <c r="E8" s="39">
        <v>27141</v>
      </c>
      <c r="F8" s="39">
        <v>3578</v>
      </c>
      <c r="G8" s="39">
        <v>10092</v>
      </c>
      <c r="H8" s="39">
        <v>15207</v>
      </c>
      <c r="I8" s="39">
        <v>12771</v>
      </c>
      <c r="J8" s="39">
        <f t="shared" si="0"/>
        <v>110097</v>
      </c>
    </row>
    <row r="9" spans="1:10" ht="15.75">
      <c r="A9" s="38" t="s">
        <v>279</v>
      </c>
      <c r="B9" s="39">
        <v>13390</v>
      </c>
      <c r="C9" s="39">
        <v>3611</v>
      </c>
      <c r="D9" s="39">
        <v>6226</v>
      </c>
      <c r="E9" s="39">
        <v>27567</v>
      </c>
      <c r="F9" s="39">
        <v>29962</v>
      </c>
      <c r="G9" s="39">
        <v>2967</v>
      </c>
      <c r="H9" s="39">
        <v>5740</v>
      </c>
      <c r="I9" s="39">
        <v>2137</v>
      </c>
      <c r="J9" s="39">
        <f t="shared" si="0"/>
        <v>91600</v>
      </c>
    </row>
    <row r="10" spans="1:10" ht="15.75">
      <c r="A10" s="38" t="s">
        <v>280</v>
      </c>
      <c r="B10" s="39">
        <v>17585</v>
      </c>
      <c r="C10" s="39">
        <v>28508</v>
      </c>
      <c r="D10" s="39">
        <v>9614</v>
      </c>
      <c r="E10" s="39">
        <v>17110</v>
      </c>
      <c r="F10" s="39">
        <v>12143</v>
      </c>
      <c r="G10" s="39">
        <v>7365</v>
      </c>
      <c r="H10" s="39">
        <v>24185</v>
      </c>
      <c r="I10" s="39">
        <v>1643</v>
      </c>
      <c r="J10" s="39">
        <f t="shared" si="0"/>
        <v>118153</v>
      </c>
    </row>
    <row r="11" spans="1:10" ht="15.75">
      <c r="A11" s="38" t="s">
        <v>281</v>
      </c>
      <c r="B11" s="39">
        <v>22579</v>
      </c>
      <c r="C11" s="39">
        <v>16301</v>
      </c>
      <c r="D11" s="39">
        <v>6469</v>
      </c>
      <c r="E11" s="39">
        <v>22050</v>
      </c>
      <c r="F11" s="39">
        <v>8740</v>
      </c>
      <c r="G11" s="39">
        <v>18806</v>
      </c>
      <c r="H11" s="39">
        <v>3334</v>
      </c>
      <c r="I11" s="39">
        <v>3597</v>
      </c>
      <c r="J11" s="39">
        <f t="shared" si="0"/>
        <v>101876</v>
      </c>
    </row>
    <row r="12" spans="1:10">
      <c r="A12" s="35"/>
      <c r="B12" s="36"/>
      <c r="C12" s="36"/>
      <c r="D12" s="36"/>
      <c r="E12" s="36"/>
      <c r="F12" s="36"/>
      <c r="G12" s="36"/>
      <c r="H12" s="36"/>
      <c r="I12" s="36"/>
      <c r="J12" s="36"/>
    </row>
    <row r="13" spans="1:10">
      <c r="A13" s="35" t="s">
        <v>263</v>
      </c>
      <c r="C13">
        <f>COUNTA(A4:A11)</f>
        <v>8</v>
      </c>
    </row>
    <row r="14" spans="1:10">
      <c r="C14" s="35"/>
    </row>
    <row r="15" spans="1:10">
      <c r="A15" t="s">
        <v>284</v>
      </c>
      <c r="F15" t="s">
        <v>285</v>
      </c>
      <c r="G15" t="s">
        <v>286</v>
      </c>
      <c r="I15" t="s">
        <v>276</v>
      </c>
    </row>
    <row r="16" spans="1:10">
      <c r="F16">
        <f>VLOOKUP(I15,A4:D11,4,FALSE)</f>
        <v>8377</v>
      </c>
      <c r="G16">
        <f>VLOOKUP(I15,A4:H11,8,FALSE)</f>
        <v>21159</v>
      </c>
    </row>
  </sheetData>
  <dataValidations count="1">
    <dataValidation type="list" allowBlank="1" showInputMessage="1" showErrorMessage="1" sqref="I15" xr:uid="{14FC4552-E8A0-4231-9DED-11226758515E}">
      <formula1>$A$4:$A$11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BDCE2-4004-471E-8E15-AB0563EF7E2B}">
  <dimension ref="A1:G26"/>
  <sheetViews>
    <sheetView workbookViewId="0">
      <selection activeCell="D19" sqref="D19"/>
    </sheetView>
  </sheetViews>
  <sheetFormatPr defaultRowHeight="15"/>
  <cols>
    <col min="1" max="1" width="20.85546875" customWidth="1"/>
    <col min="2" max="2" width="15.42578125" customWidth="1"/>
  </cols>
  <sheetData>
    <row r="1" spans="1:5" ht="18.75">
      <c r="A1" s="11" t="s">
        <v>287</v>
      </c>
    </row>
    <row r="2" spans="1:5" ht="18.75">
      <c r="A2" s="11" t="s">
        <v>308</v>
      </c>
      <c r="B2" s="11"/>
      <c r="C2" s="11" t="s">
        <v>309</v>
      </c>
      <c r="D2" s="11"/>
      <c r="E2" s="11"/>
    </row>
    <row r="3" spans="1:5">
      <c r="A3" s="43" t="s">
        <v>288</v>
      </c>
      <c r="B3" s="43" t="s">
        <v>289</v>
      </c>
      <c r="C3" s="43" t="s">
        <v>290</v>
      </c>
      <c r="D3" s="43" t="s">
        <v>291</v>
      </c>
    </row>
    <row r="4" spans="1:5">
      <c r="A4" s="35" t="s">
        <v>292</v>
      </c>
      <c r="B4" s="40">
        <v>2.95</v>
      </c>
      <c r="C4" s="40">
        <v>3.75</v>
      </c>
      <c r="D4" s="40">
        <v>4.1500000000000004</v>
      </c>
    </row>
    <row r="5" spans="1:5">
      <c r="A5" s="35" t="s">
        <v>293</v>
      </c>
      <c r="B5" s="40">
        <v>2.95</v>
      </c>
      <c r="C5" s="40">
        <v>3.65</v>
      </c>
      <c r="D5" s="40">
        <v>4.1500000000000004</v>
      </c>
    </row>
    <row r="8" spans="1:5" ht="18">
      <c r="A8" s="41" t="s">
        <v>294</v>
      </c>
    </row>
    <row r="9" spans="1:5">
      <c r="A9" s="44" t="s">
        <v>310</v>
      </c>
      <c r="B9" s="44"/>
      <c r="C9" s="44" t="s">
        <v>289</v>
      </c>
      <c r="D9" s="44" t="s">
        <v>290</v>
      </c>
      <c r="E9" s="44" t="s">
        <v>291</v>
      </c>
    </row>
    <row r="10" spans="1:5">
      <c r="A10" s="45" t="s">
        <v>295</v>
      </c>
      <c r="B10" s="46"/>
      <c r="C10" s="47">
        <v>3.75</v>
      </c>
      <c r="D10" s="47">
        <v>3.95</v>
      </c>
      <c r="E10" s="47">
        <v>4.25</v>
      </c>
    </row>
    <row r="11" spans="1:5">
      <c r="A11" s="45" t="s">
        <v>296</v>
      </c>
      <c r="B11" s="46"/>
      <c r="C11" s="47">
        <v>3.25</v>
      </c>
      <c r="D11" s="47">
        <v>3.95</v>
      </c>
      <c r="E11" s="47">
        <v>4.4000000000000004</v>
      </c>
    </row>
    <row r="12" spans="1:5">
      <c r="A12" s="45" t="s">
        <v>297</v>
      </c>
      <c r="B12" s="46"/>
      <c r="C12" s="47">
        <v>3.45</v>
      </c>
      <c r="D12" s="47">
        <v>4.1500000000000004</v>
      </c>
      <c r="E12" s="47">
        <v>4.55</v>
      </c>
    </row>
    <row r="13" spans="1:5">
      <c r="A13" s="45" t="s">
        <v>298</v>
      </c>
      <c r="B13" s="46"/>
      <c r="C13" s="47">
        <v>2</v>
      </c>
      <c r="D13" s="47">
        <v>2.4</v>
      </c>
      <c r="E13" s="47">
        <v>2.75</v>
      </c>
    </row>
    <row r="14" spans="1:5">
      <c r="A14" s="45" t="s">
        <v>299</v>
      </c>
      <c r="B14" s="46"/>
      <c r="C14" s="47">
        <v>3.95</v>
      </c>
      <c r="D14" s="47">
        <v>4.75</v>
      </c>
      <c r="E14" s="47">
        <v>5.15</v>
      </c>
    </row>
    <row r="15" spans="1:5">
      <c r="A15" s="45" t="s">
        <v>300</v>
      </c>
      <c r="B15" s="46"/>
      <c r="C15" s="47">
        <v>2.25</v>
      </c>
      <c r="D15" s="47">
        <v>2.5</v>
      </c>
      <c r="E15" s="47">
        <v>2.75</v>
      </c>
    </row>
    <row r="16" spans="1:5">
      <c r="A16" s="45" t="s">
        <v>301</v>
      </c>
      <c r="B16" s="46"/>
      <c r="C16" s="47">
        <v>1.75</v>
      </c>
      <c r="D16" s="47">
        <v>1.95</v>
      </c>
      <c r="E16" s="47">
        <v>2.0499999999999998</v>
      </c>
    </row>
    <row r="17" spans="1:7">
      <c r="D17" s="34" t="s">
        <v>302</v>
      </c>
    </row>
    <row r="18" spans="1:7">
      <c r="A18" s="34" t="s">
        <v>303</v>
      </c>
    </row>
    <row r="19" spans="1:7">
      <c r="A19" s="35" t="s">
        <v>304</v>
      </c>
      <c r="D19">
        <f>MATCH(A19,A3:D3,0)</f>
        <v>3</v>
      </c>
      <c r="E19" s="42">
        <v>3</v>
      </c>
      <c r="G19" s="35" t="s">
        <v>305</v>
      </c>
    </row>
    <row r="20" spans="1:7">
      <c r="A20" s="34" t="s">
        <v>291</v>
      </c>
      <c r="E20" s="35">
        <f>MATCH("VENTI",A3:D3,0)</f>
        <v>4</v>
      </c>
      <c r="G20" s="35" t="s">
        <v>305</v>
      </c>
    </row>
    <row r="21" spans="1:7">
      <c r="A21" s="34" t="s">
        <v>289</v>
      </c>
      <c r="E21" s="35">
        <f>MATCH(A21,A3:D3,0)</f>
        <v>2</v>
      </c>
      <c r="G21" s="35" t="s">
        <v>305</v>
      </c>
    </row>
    <row r="22" spans="1:7">
      <c r="D22" s="34" t="s">
        <v>306</v>
      </c>
    </row>
    <row r="23" spans="1:7">
      <c r="B23" s="34" t="s">
        <v>307</v>
      </c>
    </row>
    <row r="24" spans="1:7">
      <c r="A24" s="35" t="s">
        <v>296</v>
      </c>
      <c r="E24" s="35" t="s">
        <v>304</v>
      </c>
      <c r="G24" s="40">
        <v>3.95</v>
      </c>
    </row>
    <row r="25" spans="1:7">
      <c r="A25" s="35" t="s">
        <v>296</v>
      </c>
      <c r="E25" s="35" t="s">
        <v>289</v>
      </c>
      <c r="G25" s="35">
        <f>VLOOKUP(A25,A10:E16,3,0)</f>
        <v>3.25</v>
      </c>
    </row>
    <row r="26" spans="1:7">
      <c r="A26" s="35" t="s">
        <v>296</v>
      </c>
      <c r="E26" s="35" t="s">
        <v>291</v>
      </c>
      <c r="G26" s="35">
        <f>VLOOKUP(A26,A10:E16,5,0)</f>
        <v>4.4000000000000004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F86B-7F77-4B30-B794-FB23F99B81CF}">
  <dimension ref="A1:F37"/>
  <sheetViews>
    <sheetView workbookViewId="0">
      <selection activeCell="F28" sqref="F28"/>
    </sheetView>
  </sheetViews>
  <sheetFormatPr defaultRowHeight="15"/>
  <cols>
    <col min="3" max="3" width="15.7109375" customWidth="1"/>
    <col min="4" max="4" width="16.42578125" customWidth="1"/>
    <col min="5" max="5" width="18.5703125" customWidth="1"/>
  </cols>
  <sheetData>
    <row r="1" spans="1:6" ht="18.75">
      <c r="C1" s="11" t="s">
        <v>132</v>
      </c>
    </row>
    <row r="3" spans="1:6">
      <c r="A3" s="53" t="s">
        <v>311</v>
      </c>
      <c r="B3" s="53" t="s">
        <v>312</v>
      </c>
      <c r="C3" s="53" t="s">
        <v>313</v>
      </c>
      <c r="D3" s="53" t="s">
        <v>314</v>
      </c>
    </row>
    <row r="4" spans="1:6">
      <c r="A4" s="54" t="s">
        <v>315</v>
      </c>
      <c r="B4" s="54" t="s">
        <v>316</v>
      </c>
      <c r="C4" s="2" t="s">
        <v>317</v>
      </c>
      <c r="D4" s="55">
        <v>74</v>
      </c>
    </row>
    <row r="5" spans="1:6">
      <c r="A5" s="54" t="s">
        <v>318</v>
      </c>
      <c r="B5" s="54" t="s">
        <v>319</v>
      </c>
      <c r="C5" s="2" t="s">
        <v>320</v>
      </c>
      <c r="D5" s="55">
        <v>92</v>
      </c>
    </row>
    <row r="6" spans="1:6">
      <c r="A6" s="54" t="s">
        <v>321</v>
      </c>
      <c r="B6" s="54" t="s">
        <v>316</v>
      </c>
      <c r="C6" s="2" t="s">
        <v>317</v>
      </c>
      <c r="D6" s="55">
        <v>65</v>
      </c>
    </row>
    <row r="7" spans="1:6">
      <c r="A7" s="54" t="s">
        <v>322</v>
      </c>
      <c r="B7" s="54" t="s">
        <v>319</v>
      </c>
      <c r="C7" s="54" t="s">
        <v>323</v>
      </c>
      <c r="D7" s="55">
        <v>82</v>
      </c>
    </row>
    <row r="8" spans="1:6">
      <c r="A8" s="54" t="s">
        <v>324</v>
      </c>
      <c r="B8" s="54" t="s">
        <v>319</v>
      </c>
      <c r="C8" s="54" t="s">
        <v>325</v>
      </c>
      <c r="D8" s="55">
        <v>50</v>
      </c>
    </row>
    <row r="9" spans="1:6">
      <c r="A9" s="54" t="s">
        <v>326</v>
      </c>
      <c r="B9" s="54" t="s">
        <v>319</v>
      </c>
      <c r="C9" s="54" t="s">
        <v>323</v>
      </c>
      <c r="D9" s="55">
        <v>91</v>
      </c>
    </row>
    <row r="10" spans="1:6">
      <c r="A10" s="54" t="s">
        <v>327</v>
      </c>
      <c r="B10" s="54" t="s">
        <v>319</v>
      </c>
      <c r="C10" s="2" t="s">
        <v>317</v>
      </c>
      <c r="D10" s="55">
        <v>96</v>
      </c>
    </row>
    <row r="11" spans="1:6">
      <c r="A11" s="54" t="s">
        <v>328</v>
      </c>
      <c r="B11" s="54" t="s">
        <v>316</v>
      </c>
      <c r="C11" s="2" t="s">
        <v>317</v>
      </c>
      <c r="D11" s="55">
        <v>58</v>
      </c>
    </row>
    <row r="12" spans="1:6">
      <c r="A12" s="54" t="s">
        <v>329</v>
      </c>
      <c r="B12" s="54" t="s">
        <v>316</v>
      </c>
      <c r="C12" s="54" t="s">
        <v>323</v>
      </c>
      <c r="D12" s="55">
        <v>67</v>
      </c>
    </row>
    <row r="13" spans="1:6">
      <c r="A13" s="54" t="s">
        <v>330</v>
      </c>
      <c r="B13" s="54" t="s">
        <v>319</v>
      </c>
      <c r="C13" s="2" t="s">
        <v>320</v>
      </c>
      <c r="D13" s="55">
        <v>54</v>
      </c>
    </row>
    <row r="14" spans="1:6">
      <c r="A14" s="54" t="s">
        <v>331</v>
      </c>
      <c r="B14" s="54" t="s">
        <v>316</v>
      </c>
      <c r="C14" s="2" t="s">
        <v>317</v>
      </c>
      <c r="D14" s="55">
        <v>83</v>
      </c>
    </row>
    <row r="15" spans="1:6">
      <c r="F15" s="48" t="s">
        <v>332</v>
      </c>
    </row>
    <row r="16" spans="1:6">
      <c r="A16" s="34" t="s">
        <v>333</v>
      </c>
      <c r="D16" s="48"/>
    </row>
    <row r="17" spans="1:6">
      <c r="C17">
        <f>COUNTIF(B4:B14,"Male")+COUNTIF(B4:B14,"Female")</f>
        <v>11</v>
      </c>
      <c r="F17" s="48" t="s">
        <v>332</v>
      </c>
    </row>
    <row r="18" spans="1:6">
      <c r="F18" s="48"/>
    </row>
    <row r="19" spans="1:6">
      <c r="A19" s="34" t="s">
        <v>335</v>
      </c>
      <c r="D19" s="48" t="s">
        <v>23</v>
      </c>
    </row>
    <row r="20" spans="1:6">
      <c r="C20" s="34">
        <f>COUNTIFS(B4:B14,"Male",C4:C14,"United States")</f>
        <v>4</v>
      </c>
      <c r="F20" s="48"/>
    </row>
    <row r="21" spans="1:6">
      <c r="C21" s="34"/>
      <c r="F21" s="48"/>
    </row>
    <row r="22" spans="1:6">
      <c r="A22" s="34" t="s">
        <v>336</v>
      </c>
      <c r="E22" s="48" t="s">
        <v>337</v>
      </c>
    </row>
    <row r="23" spans="1:6">
      <c r="B23" s="34" t="s">
        <v>313</v>
      </c>
      <c r="D23" t="s">
        <v>329</v>
      </c>
      <c r="F23" s="48"/>
    </row>
    <row r="24" spans="1:6">
      <c r="B24" s="34" t="str">
        <f>VLOOKUP(D23,A4:C14,3,FALSE)</f>
        <v>Canada</v>
      </c>
      <c r="F24" s="48"/>
    </row>
    <row r="26" spans="1:6">
      <c r="A26" s="34" t="s">
        <v>338</v>
      </c>
      <c r="B26" s="48"/>
    </row>
    <row r="27" spans="1:6">
      <c r="A27" s="34"/>
      <c r="B27" s="48"/>
    </row>
    <row r="28" spans="1:6">
      <c r="A28" s="34"/>
      <c r="B28" s="48"/>
      <c r="C28">
        <f>SUMIFS(D4:D14,C4:C14,"United States")</f>
        <v>376</v>
      </c>
    </row>
    <row r="29" spans="1:6">
      <c r="A29" s="34"/>
      <c r="B29" s="48"/>
    </row>
    <row r="30" spans="1:6">
      <c r="A30" s="34" t="s">
        <v>386</v>
      </c>
    </row>
    <row r="32" spans="1:6">
      <c r="C32">
        <f>SUMIFS(D4:D14,C4:C14,"United States",B4:B14,"Male")</f>
        <v>280</v>
      </c>
      <c r="D32">
        <f>SUMIFS(D4:D14,C4:C14,"United States",B4:B14,"Male")</f>
        <v>280</v>
      </c>
    </row>
    <row r="37" spans="3:3">
      <c r="C37" t="s">
        <v>1014</v>
      </c>
    </row>
  </sheetData>
  <dataValidations count="1">
    <dataValidation type="list" allowBlank="1" showInputMessage="1" showErrorMessage="1" sqref="D23" xr:uid="{103FE496-DA3F-458D-B618-61A28C35851A}">
      <formula1>$A$4:$A$14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03A0-A8E7-475B-A8B1-AD2970DF5C25}">
  <dimension ref="A1:J66"/>
  <sheetViews>
    <sheetView topLeftCell="A44" workbookViewId="0">
      <selection activeCell="C60" sqref="C60"/>
    </sheetView>
  </sheetViews>
  <sheetFormatPr defaultRowHeight="15"/>
  <cols>
    <col min="3" max="3" width="15.140625" bestFit="1" customWidth="1"/>
    <col min="4" max="4" width="16.28515625" bestFit="1" customWidth="1"/>
    <col min="5" max="5" width="11.7109375" bestFit="1" customWidth="1"/>
    <col min="6" max="6" width="8.28515625" bestFit="1" customWidth="1"/>
    <col min="7" max="7" width="7.140625" bestFit="1" customWidth="1"/>
    <col min="8" max="8" width="6.5703125" bestFit="1" customWidth="1"/>
    <col min="9" max="9" width="5.7109375" bestFit="1" customWidth="1"/>
    <col min="10" max="10" width="11.28515625" bestFit="1" customWidth="1"/>
  </cols>
  <sheetData>
    <row r="1" spans="1:5">
      <c r="C1" t="s">
        <v>384</v>
      </c>
    </row>
    <row r="3" spans="1:5">
      <c r="A3" s="50" t="s">
        <v>339</v>
      </c>
      <c r="B3" s="50" t="s">
        <v>340</v>
      </c>
      <c r="C3" s="50" t="s">
        <v>341</v>
      </c>
      <c r="D3" s="50" t="s">
        <v>342</v>
      </c>
      <c r="E3" s="50" t="s">
        <v>343</v>
      </c>
    </row>
    <row r="4" spans="1:5">
      <c r="A4" s="51" t="s">
        <v>344</v>
      </c>
      <c r="B4" s="52">
        <v>1998</v>
      </c>
      <c r="C4" s="51" t="s">
        <v>345</v>
      </c>
      <c r="D4" s="51" t="s">
        <v>346</v>
      </c>
      <c r="E4" s="245" t="s">
        <v>347</v>
      </c>
    </row>
    <row r="5" spans="1:5">
      <c r="A5" s="51" t="s">
        <v>344</v>
      </c>
      <c r="B5" s="52">
        <v>1998</v>
      </c>
      <c r="C5" s="51" t="s">
        <v>348</v>
      </c>
      <c r="D5" s="51" t="s">
        <v>346</v>
      </c>
      <c r="E5" s="245" t="s">
        <v>349</v>
      </c>
    </row>
    <row r="6" spans="1:5">
      <c r="A6" s="51" t="s">
        <v>344</v>
      </c>
      <c r="B6" s="52">
        <v>1998</v>
      </c>
      <c r="C6" s="51" t="s">
        <v>350</v>
      </c>
      <c r="D6" s="51" t="s">
        <v>346</v>
      </c>
      <c r="E6" s="245" t="s">
        <v>351</v>
      </c>
    </row>
    <row r="7" spans="1:5">
      <c r="A7" s="51" t="s">
        <v>344</v>
      </c>
      <c r="B7" s="52">
        <v>1998</v>
      </c>
      <c r="C7" s="51" t="s">
        <v>352</v>
      </c>
      <c r="D7" s="51" t="s">
        <v>346</v>
      </c>
      <c r="E7" s="245" t="s">
        <v>353</v>
      </c>
    </row>
    <row r="8" spans="1:5">
      <c r="A8" s="51" t="s">
        <v>344</v>
      </c>
      <c r="B8" s="52">
        <v>1998</v>
      </c>
      <c r="C8" s="51" t="s">
        <v>354</v>
      </c>
      <c r="D8" s="51" t="s">
        <v>346</v>
      </c>
      <c r="E8" s="245" t="s">
        <v>355</v>
      </c>
    </row>
    <row r="9" spans="1:5">
      <c r="A9" s="51" t="s">
        <v>344</v>
      </c>
      <c r="B9" s="52">
        <v>1998</v>
      </c>
      <c r="C9" s="51" t="s">
        <v>356</v>
      </c>
      <c r="D9" s="51" t="s">
        <v>346</v>
      </c>
      <c r="E9" s="245" t="s">
        <v>357</v>
      </c>
    </row>
    <row r="10" spans="1:5">
      <c r="A10" s="51" t="s">
        <v>344</v>
      </c>
      <c r="B10" s="52">
        <v>1998</v>
      </c>
      <c r="C10" s="51" t="s">
        <v>345</v>
      </c>
      <c r="D10" s="51" t="s">
        <v>358</v>
      </c>
      <c r="E10" s="245" t="s">
        <v>359</v>
      </c>
    </row>
    <row r="11" spans="1:5">
      <c r="A11" s="51" t="s">
        <v>344</v>
      </c>
      <c r="B11" s="52">
        <v>1998</v>
      </c>
      <c r="C11" s="51" t="s">
        <v>348</v>
      </c>
      <c r="D11" s="51" t="s">
        <v>358</v>
      </c>
      <c r="E11" s="245" t="s">
        <v>360</v>
      </c>
    </row>
    <row r="12" spans="1:5">
      <c r="A12" s="51" t="s">
        <v>344</v>
      </c>
      <c r="B12" s="52">
        <v>1998</v>
      </c>
      <c r="C12" s="51" t="s">
        <v>350</v>
      </c>
      <c r="D12" s="51" t="s">
        <v>358</v>
      </c>
      <c r="E12" s="245" t="s">
        <v>361</v>
      </c>
    </row>
    <row r="13" spans="1:5">
      <c r="A13" s="51" t="s">
        <v>344</v>
      </c>
      <c r="B13" s="52">
        <v>1998</v>
      </c>
      <c r="C13" s="51" t="s">
        <v>352</v>
      </c>
      <c r="D13" s="51" t="s">
        <v>358</v>
      </c>
      <c r="E13" s="245" t="s">
        <v>362</v>
      </c>
    </row>
    <row r="14" spans="1:5">
      <c r="A14" s="51" t="s">
        <v>344</v>
      </c>
      <c r="B14" s="52">
        <v>1998</v>
      </c>
      <c r="C14" s="51" t="s">
        <v>354</v>
      </c>
      <c r="D14" s="51" t="s">
        <v>358</v>
      </c>
      <c r="E14" s="245" t="s">
        <v>363</v>
      </c>
    </row>
    <row r="15" spans="1:5">
      <c r="A15" s="51" t="s">
        <v>344</v>
      </c>
      <c r="B15" s="52">
        <v>1998</v>
      </c>
      <c r="C15" s="51" t="s">
        <v>356</v>
      </c>
      <c r="D15" s="51" t="s">
        <v>358</v>
      </c>
      <c r="E15" s="245" t="s">
        <v>364</v>
      </c>
    </row>
    <row r="16" spans="1:5">
      <c r="A16" s="51" t="s">
        <v>344</v>
      </c>
      <c r="B16" s="52">
        <v>1998</v>
      </c>
      <c r="C16" s="51" t="s">
        <v>345</v>
      </c>
      <c r="D16" s="51" t="s">
        <v>365</v>
      </c>
      <c r="E16" s="245" t="s">
        <v>366</v>
      </c>
    </row>
    <row r="17" spans="1:5">
      <c r="A17" s="51" t="s">
        <v>344</v>
      </c>
      <c r="B17" s="52">
        <v>1998</v>
      </c>
      <c r="C17" s="51" t="s">
        <v>348</v>
      </c>
      <c r="D17" s="51" t="s">
        <v>365</v>
      </c>
      <c r="E17" s="245" t="s">
        <v>367</v>
      </c>
    </row>
    <row r="18" spans="1:5">
      <c r="A18" s="51" t="s">
        <v>344</v>
      </c>
      <c r="B18" s="52">
        <v>1998</v>
      </c>
      <c r="C18" s="51" t="s">
        <v>350</v>
      </c>
      <c r="D18" s="51" t="s">
        <v>365</v>
      </c>
      <c r="E18" s="245" t="s">
        <v>368</v>
      </c>
    </row>
    <row r="19" spans="1:5">
      <c r="A19" s="51" t="s">
        <v>344</v>
      </c>
      <c r="B19" s="52">
        <v>1998</v>
      </c>
      <c r="C19" s="51" t="s">
        <v>352</v>
      </c>
      <c r="D19" s="51" t="s">
        <v>365</v>
      </c>
      <c r="E19" s="245" t="s">
        <v>369</v>
      </c>
    </row>
    <row r="20" spans="1:5">
      <c r="A20" s="51" t="s">
        <v>344</v>
      </c>
      <c r="B20" s="52">
        <v>1998</v>
      </c>
      <c r="C20" s="51" t="s">
        <v>354</v>
      </c>
      <c r="D20" s="51" t="s">
        <v>365</v>
      </c>
      <c r="E20" s="245" t="s">
        <v>370</v>
      </c>
    </row>
    <row r="21" spans="1:5">
      <c r="A21" s="51" t="s">
        <v>344</v>
      </c>
      <c r="B21" s="52">
        <v>1998</v>
      </c>
      <c r="C21" s="51" t="s">
        <v>356</v>
      </c>
      <c r="D21" s="51" t="s">
        <v>365</v>
      </c>
      <c r="E21" s="245" t="s">
        <v>371</v>
      </c>
    </row>
    <row r="22" spans="1:5">
      <c r="A22" s="51" t="s">
        <v>372</v>
      </c>
      <c r="B22" s="52">
        <v>1998</v>
      </c>
      <c r="C22" s="51" t="s">
        <v>345</v>
      </c>
      <c r="D22" s="51" t="s">
        <v>346</v>
      </c>
      <c r="E22" s="245">
        <v>545780</v>
      </c>
    </row>
    <row r="23" spans="1:5">
      <c r="A23" s="51" t="s">
        <v>372</v>
      </c>
      <c r="B23" s="52">
        <v>1998</v>
      </c>
      <c r="C23" s="51" t="s">
        <v>348</v>
      </c>
      <c r="D23" s="51" t="s">
        <v>346</v>
      </c>
      <c r="E23" s="245">
        <v>440644</v>
      </c>
    </row>
    <row r="24" spans="1:5">
      <c r="A24" s="51" t="s">
        <v>372</v>
      </c>
      <c r="B24" s="52">
        <v>1998</v>
      </c>
      <c r="C24" s="51" t="s">
        <v>350</v>
      </c>
      <c r="D24" s="51" t="s">
        <v>346</v>
      </c>
      <c r="E24" s="245">
        <v>580359</v>
      </c>
    </row>
    <row r="25" spans="1:5">
      <c r="A25" s="51" t="s">
        <v>372</v>
      </c>
      <c r="B25" s="52">
        <v>1998</v>
      </c>
      <c r="C25" s="51" t="s">
        <v>352</v>
      </c>
      <c r="D25" s="51" t="s">
        <v>346</v>
      </c>
      <c r="E25" s="245">
        <v>536225</v>
      </c>
    </row>
    <row r="26" spans="1:5">
      <c r="A26" s="51" t="s">
        <v>372</v>
      </c>
      <c r="B26" s="52">
        <v>1998</v>
      </c>
      <c r="C26" s="51" t="s">
        <v>354</v>
      </c>
      <c r="D26" s="51" t="s">
        <v>346</v>
      </c>
      <c r="E26" s="245">
        <v>414908</v>
      </c>
    </row>
    <row r="27" spans="1:5">
      <c r="A27" s="51" t="s">
        <v>372</v>
      </c>
      <c r="B27" s="52">
        <v>1998</v>
      </c>
      <c r="C27" s="51" t="s">
        <v>356</v>
      </c>
      <c r="D27" s="51" t="s">
        <v>346</v>
      </c>
      <c r="E27" s="245">
        <v>377997</v>
      </c>
    </row>
    <row r="28" spans="1:5">
      <c r="A28" s="51" t="s">
        <v>372</v>
      </c>
      <c r="B28" s="52">
        <v>1998</v>
      </c>
      <c r="C28" s="51" t="s">
        <v>345</v>
      </c>
      <c r="D28" s="51" t="s">
        <v>358</v>
      </c>
      <c r="E28" s="245" t="s">
        <v>373</v>
      </c>
    </row>
    <row r="29" spans="1:5">
      <c r="A29" s="51" t="s">
        <v>372</v>
      </c>
      <c r="B29" s="52">
        <v>1998</v>
      </c>
      <c r="C29" s="51" t="s">
        <v>348</v>
      </c>
      <c r="D29" s="51" t="s">
        <v>358</v>
      </c>
      <c r="E29" s="245" t="s">
        <v>374</v>
      </c>
    </row>
    <row r="30" spans="1:5">
      <c r="A30" s="51" t="s">
        <v>372</v>
      </c>
      <c r="B30" s="52">
        <v>1998</v>
      </c>
      <c r="C30" s="51" t="s">
        <v>350</v>
      </c>
      <c r="D30" s="51" t="s">
        <v>358</v>
      </c>
      <c r="E30" s="245" t="s">
        <v>375</v>
      </c>
    </row>
    <row r="31" spans="1:5">
      <c r="A31" s="51" t="s">
        <v>372</v>
      </c>
      <c r="B31" s="52">
        <v>1998</v>
      </c>
      <c r="C31" s="51" t="s">
        <v>352</v>
      </c>
      <c r="D31" s="51" t="s">
        <v>358</v>
      </c>
      <c r="E31" s="245" t="s">
        <v>376</v>
      </c>
    </row>
    <row r="32" spans="1:5">
      <c r="A32" s="51" t="s">
        <v>372</v>
      </c>
      <c r="B32" s="52">
        <v>1998</v>
      </c>
      <c r="C32" s="51" t="s">
        <v>354</v>
      </c>
      <c r="D32" s="51" t="s">
        <v>358</v>
      </c>
      <c r="E32" s="245" t="s">
        <v>377</v>
      </c>
    </row>
    <row r="33" spans="1:7">
      <c r="A33" s="51" t="s">
        <v>372</v>
      </c>
      <c r="B33" s="52">
        <v>1998</v>
      </c>
      <c r="C33" s="51" t="s">
        <v>356</v>
      </c>
      <c r="D33" s="51" t="s">
        <v>358</v>
      </c>
      <c r="E33" s="245" t="s">
        <v>378</v>
      </c>
    </row>
    <row r="34" spans="1:7">
      <c r="A34" s="51" t="s">
        <v>372</v>
      </c>
      <c r="B34" s="52">
        <v>1998</v>
      </c>
      <c r="C34" s="51" t="s">
        <v>345</v>
      </c>
      <c r="D34" s="51" t="s">
        <v>365</v>
      </c>
      <c r="E34" s="245">
        <v>606332</v>
      </c>
    </row>
    <row r="35" spans="1:7">
      <c r="A35" s="51" t="s">
        <v>372</v>
      </c>
      <c r="B35" s="52">
        <v>1998</v>
      </c>
      <c r="C35" s="51" t="s">
        <v>348</v>
      </c>
      <c r="D35" s="51" t="s">
        <v>365</v>
      </c>
      <c r="E35" s="245">
        <v>535218</v>
      </c>
    </row>
    <row r="36" spans="1:7">
      <c r="A36" s="51" t="s">
        <v>372</v>
      </c>
      <c r="B36" s="52">
        <v>1998</v>
      </c>
      <c r="C36" s="51" t="s">
        <v>350</v>
      </c>
      <c r="D36" s="51" t="s">
        <v>365</v>
      </c>
      <c r="E36" s="245">
        <v>493364</v>
      </c>
    </row>
    <row r="37" spans="1:7">
      <c r="A37" s="51" t="s">
        <v>372</v>
      </c>
      <c r="B37" s="52">
        <v>1998</v>
      </c>
      <c r="C37" s="51" t="s">
        <v>352</v>
      </c>
      <c r="D37" s="51" t="s">
        <v>365</v>
      </c>
      <c r="E37" s="245">
        <v>559100</v>
      </c>
    </row>
    <row r="38" spans="1:7">
      <c r="A38" s="51" t="s">
        <v>372</v>
      </c>
      <c r="B38" s="52">
        <v>1998</v>
      </c>
      <c r="C38" s="51" t="s">
        <v>354</v>
      </c>
      <c r="D38" s="51" t="s">
        <v>365</v>
      </c>
      <c r="E38" s="245">
        <v>220350</v>
      </c>
    </row>
    <row r="39" spans="1:7">
      <c r="A39" s="51" t="s">
        <v>372</v>
      </c>
      <c r="B39" s="52">
        <v>1998</v>
      </c>
      <c r="C39" s="51" t="s">
        <v>356</v>
      </c>
      <c r="D39" s="51" t="s">
        <v>365</v>
      </c>
      <c r="E39" s="245">
        <v>476975</v>
      </c>
    </row>
    <row r="40" spans="1:7">
      <c r="G40" s="48" t="s">
        <v>379</v>
      </c>
    </row>
    <row r="41" spans="1:7">
      <c r="A41" s="49" t="s">
        <v>380</v>
      </c>
      <c r="F41" s="48" t="s">
        <v>334</v>
      </c>
    </row>
    <row r="42" spans="1:7">
      <c r="C42">
        <f>COUNTIF(A22:A39,"=Spring")+COUNTIF(A4:A21,"Fall")</f>
        <v>36</v>
      </c>
      <c r="F42" s="48" t="s">
        <v>379</v>
      </c>
    </row>
    <row r="43" spans="1:7">
      <c r="G43" s="48"/>
    </row>
    <row r="44" spans="1:7">
      <c r="A44" s="34" t="s">
        <v>381</v>
      </c>
      <c r="E44" s="48"/>
      <c r="G44" t="s">
        <v>385</v>
      </c>
    </row>
    <row r="45" spans="1:7">
      <c r="A45" s="34"/>
      <c r="C45">
        <f>COUNTIFS(A4:A21,"Fall",D4:D21,"California")+COUNTIFS(A4:A21,"Fall",D4:D21,"Washington")</f>
        <v>12</v>
      </c>
      <c r="E45" s="48"/>
    </row>
    <row r="46" spans="1:7">
      <c r="A46" s="34"/>
      <c r="C46">
        <f>COUNTIFS(A4:A39,"Fall",D4:D39,"California")+COUNTIFS(A4:A39,"Fall",D4:D39,"Washington")</f>
        <v>12</v>
      </c>
      <c r="E46" s="48"/>
    </row>
    <row r="47" spans="1:7">
      <c r="A47" s="34" t="s">
        <v>1015</v>
      </c>
      <c r="E47" s="48"/>
    </row>
    <row r="48" spans="1:7">
      <c r="A48" s="34"/>
      <c r="C48" s="211">
        <f>SUMIFS(E22:E39,A22:A39,"Spring",D22:D39,"California")+SUMIFS(E22:E39,A22:A39,"Spring",D22:D39,"Washington")</f>
        <v>5787252</v>
      </c>
      <c r="E48" s="48"/>
    </row>
    <row r="49" spans="1:10">
      <c r="C49" s="211">
        <f>SUMIFS(E4:E39,A4:A39,"Spring",D4:D39,"Washington")+SUMIFS(E4:E39,A4:A39,"Spring",D4:D39,"California")</f>
        <v>5787252</v>
      </c>
      <c r="F49" s="48"/>
    </row>
    <row r="50" spans="1:10">
      <c r="A50" s="34" t="s">
        <v>382</v>
      </c>
      <c r="E50" s="48"/>
    </row>
    <row r="51" spans="1:10">
      <c r="A51" s="34"/>
      <c r="C51">
        <f>COUNTIFS(A22:A39,"Spring",D22:D39,"Washington")</f>
        <v>6</v>
      </c>
      <c r="E51" s="48"/>
    </row>
    <row r="52" spans="1:10">
      <c r="A52" s="34"/>
      <c r="E52" s="48"/>
    </row>
    <row r="53" spans="1:10">
      <c r="A53" s="34" t="s">
        <v>383</v>
      </c>
    </row>
    <row r="55" spans="1:10">
      <c r="C55" s="221" t="s">
        <v>342</v>
      </c>
      <c r="D55" t="s">
        <v>358</v>
      </c>
    </row>
    <row r="56" spans="1:10">
      <c r="C56" s="221" t="s">
        <v>339</v>
      </c>
      <c r="D56" t="s">
        <v>344</v>
      </c>
    </row>
    <row r="58" spans="1:10">
      <c r="C58" s="221" t="s">
        <v>1017</v>
      </c>
      <c r="D58" s="221" t="s">
        <v>1016</v>
      </c>
    </row>
    <row r="59" spans="1:10">
      <c r="C59" s="222" t="s">
        <v>262</v>
      </c>
      <c r="D59" s="2" t="s">
        <v>345</v>
      </c>
      <c r="E59" s="2" t="s">
        <v>348</v>
      </c>
      <c r="F59" s="2" t="s">
        <v>350</v>
      </c>
      <c r="G59" s="2" t="s">
        <v>352</v>
      </c>
      <c r="H59" s="2" t="s">
        <v>354</v>
      </c>
      <c r="I59" s="2" t="s">
        <v>356</v>
      </c>
      <c r="J59" s="2" t="s">
        <v>995</v>
      </c>
    </row>
    <row r="60" spans="1:10">
      <c r="C60" s="28" t="s">
        <v>360</v>
      </c>
      <c r="D60" s="2"/>
      <c r="E60" s="2">
        <v>1</v>
      </c>
      <c r="F60" s="2"/>
      <c r="G60" s="2"/>
      <c r="H60" s="2"/>
      <c r="I60" s="2"/>
      <c r="J60" s="2">
        <v>1</v>
      </c>
    </row>
    <row r="61" spans="1:10">
      <c r="C61" s="28" t="s">
        <v>363</v>
      </c>
      <c r="D61" s="2"/>
      <c r="E61" s="2"/>
      <c r="F61" s="2"/>
      <c r="G61" s="2"/>
      <c r="H61" s="2">
        <v>1</v>
      </c>
      <c r="I61" s="2"/>
      <c r="J61" s="2">
        <v>1</v>
      </c>
    </row>
    <row r="62" spans="1:10">
      <c r="C62" s="28" t="s">
        <v>361</v>
      </c>
      <c r="D62" s="2"/>
      <c r="E62" s="2"/>
      <c r="F62" s="2">
        <v>1</v>
      </c>
      <c r="G62" s="2"/>
      <c r="H62" s="2"/>
      <c r="I62" s="2"/>
      <c r="J62" s="2">
        <v>1</v>
      </c>
    </row>
    <row r="63" spans="1:10">
      <c r="C63" s="28" t="s">
        <v>362</v>
      </c>
      <c r="D63" s="2"/>
      <c r="E63" s="2"/>
      <c r="F63" s="2"/>
      <c r="G63" s="2">
        <v>1</v>
      </c>
      <c r="H63" s="2"/>
      <c r="I63" s="2"/>
      <c r="J63" s="2">
        <v>1</v>
      </c>
    </row>
    <row r="64" spans="1:10">
      <c r="C64" s="28" t="s">
        <v>364</v>
      </c>
      <c r="D64" s="2"/>
      <c r="E64" s="2"/>
      <c r="F64" s="2"/>
      <c r="G64" s="2"/>
      <c r="H64" s="2"/>
      <c r="I64" s="2">
        <v>1</v>
      </c>
      <c r="J64" s="2">
        <v>1</v>
      </c>
    </row>
    <row r="65" spans="3:10">
      <c r="C65" s="28" t="s">
        <v>359</v>
      </c>
      <c r="D65" s="2">
        <v>1</v>
      </c>
      <c r="E65" s="2"/>
      <c r="F65" s="2"/>
      <c r="G65" s="2"/>
      <c r="H65" s="2"/>
      <c r="I65" s="2"/>
      <c r="J65" s="2">
        <v>1</v>
      </c>
    </row>
    <row r="66" spans="3:10">
      <c r="C66" s="223" t="s">
        <v>995</v>
      </c>
      <c r="D66" s="2">
        <v>1</v>
      </c>
      <c r="E66" s="2">
        <v>1</v>
      </c>
      <c r="F66" s="2">
        <v>1</v>
      </c>
      <c r="G66" s="2">
        <v>1</v>
      </c>
      <c r="H66" s="2">
        <v>1</v>
      </c>
      <c r="I66" s="2">
        <v>1</v>
      </c>
      <c r="J66" s="2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7F65F-F117-4266-8D5E-2D91E4D6A180}">
  <dimension ref="A1:H14"/>
  <sheetViews>
    <sheetView workbookViewId="0">
      <selection activeCell="J14" sqref="J14"/>
    </sheetView>
  </sheetViews>
  <sheetFormatPr defaultRowHeight="15"/>
  <cols>
    <col min="1" max="1" width="12.42578125" customWidth="1"/>
    <col min="2" max="2" width="11.28515625" customWidth="1"/>
    <col min="3" max="3" width="11.42578125" customWidth="1"/>
    <col min="7" max="7" width="13.28515625" customWidth="1"/>
    <col min="8" max="8" width="14.28515625" customWidth="1"/>
  </cols>
  <sheetData>
    <row r="1" spans="1:8">
      <c r="B1" t="s">
        <v>396</v>
      </c>
    </row>
    <row r="2" spans="1:8">
      <c r="B2" t="s">
        <v>397</v>
      </c>
    </row>
    <row r="4" spans="1:8">
      <c r="A4" s="53" t="s">
        <v>387</v>
      </c>
      <c r="B4" s="53" t="s">
        <v>388</v>
      </c>
      <c r="C4" s="53" t="s">
        <v>389</v>
      </c>
      <c r="F4" s="53" t="s">
        <v>387</v>
      </c>
      <c r="G4" s="53" t="s">
        <v>388</v>
      </c>
      <c r="H4" s="53" t="s">
        <v>389</v>
      </c>
    </row>
    <row r="5" spans="1:8">
      <c r="A5" s="55">
        <v>101</v>
      </c>
      <c r="B5" s="54" t="s">
        <v>390</v>
      </c>
      <c r="C5" s="54" t="s">
        <v>42</v>
      </c>
      <c r="F5" s="55">
        <v>104</v>
      </c>
      <c r="G5" s="54" t="str">
        <f>VLOOKUP(F5,$A$5:$C$8,2,0)</f>
        <v>HP</v>
      </c>
      <c r="H5" s="54" t="str">
        <f>VLOOKUP(F5,$A$5:$C$8,3,0)</f>
        <v>Printer</v>
      </c>
    </row>
    <row r="6" spans="1:8">
      <c r="A6" s="55">
        <v>102</v>
      </c>
      <c r="B6" s="54" t="s">
        <v>391</v>
      </c>
      <c r="C6" s="54" t="s">
        <v>392</v>
      </c>
      <c r="F6" s="55">
        <v>103</v>
      </c>
      <c r="G6" s="54" t="str">
        <f>VLOOKUP(F6,$A$5:$C$8,2,FALSE)</f>
        <v>Logitech</v>
      </c>
      <c r="H6" s="54" t="str">
        <f t="shared" ref="H6:H14" si="0">VLOOKUP(F6,$A$5:$C$8,3,0)</f>
        <v>Mouse</v>
      </c>
    </row>
    <row r="7" spans="1:8">
      <c r="A7" s="55">
        <v>103</v>
      </c>
      <c r="B7" s="54" t="s">
        <v>391</v>
      </c>
      <c r="C7" s="54" t="s">
        <v>393</v>
      </c>
      <c r="F7" s="55">
        <v>104</v>
      </c>
      <c r="G7" s="54" t="str">
        <f t="shared" ref="G7:G14" si="1">VLOOKUP(F7,$A$5:$C$8,2,FALSE)</f>
        <v>HP</v>
      </c>
      <c r="H7" s="54" t="str">
        <f t="shared" si="0"/>
        <v>Printer</v>
      </c>
    </row>
    <row r="8" spans="1:8">
      <c r="A8" s="55">
        <v>104</v>
      </c>
      <c r="B8" s="54" t="s">
        <v>394</v>
      </c>
      <c r="C8" s="54" t="s">
        <v>395</v>
      </c>
      <c r="F8" s="55">
        <v>101</v>
      </c>
      <c r="G8" s="54" t="str">
        <f t="shared" si="1"/>
        <v>Dell</v>
      </c>
      <c r="H8" s="54" t="str">
        <f t="shared" si="0"/>
        <v>Computer</v>
      </c>
    </row>
    <row r="9" spans="1:8">
      <c r="F9" s="55">
        <v>102</v>
      </c>
      <c r="G9" s="54" t="str">
        <f t="shared" si="1"/>
        <v>Logitech</v>
      </c>
      <c r="H9" s="54" t="str">
        <f t="shared" si="0"/>
        <v>Keyboard</v>
      </c>
    </row>
    <row r="10" spans="1:8">
      <c r="B10" s="34"/>
      <c r="F10" s="55">
        <v>103</v>
      </c>
      <c r="G10" s="54" t="str">
        <f t="shared" si="1"/>
        <v>Logitech</v>
      </c>
      <c r="H10" s="54" t="str">
        <f t="shared" si="0"/>
        <v>Mouse</v>
      </c>
    </row>
    <row r="11" spans="1:8">
      <c r="F11" s="55">
        <v>101</v>
      </c>
      <c r="G11" s="54" t="str">
        <f t="shared" si="1"/>
        <v>Dell</v>
      </c>
      <c r="H11" s="54" t="str">
        <f t="shared" si="0"/>
        <v>Computer</v>
      </c>
    </row>
    <row r="12" spans="1:8">
      <c r="F12" s="55">
        <v>104</v>
      </c>
      <c r="G12" s="54" t="str">
        <f t="shared" si="1"/>
        <v>HP</v>
      </c>
      <c r="H12" s="54" t="str">
        <f t="shared" si="0"/>
        <v>Printer</v>
      </c>
    </row>
    <row r="13" spans="1:8">
      <c r="F13" s="55">
        <v>101</v>
      </c>
      <c r="G13" s="54" t="str">
        <f t="shared" si="1"/>
        <v>Dell</v>
      </c>
      <c r="H13" s="54" t="str">
        <f t="shared" si="0"/>
        <v>Computer</v>
      </c>
    </row>
    <row r="14" spans="1:8">
      <c r="F14" s="55">
        <v>102</v>
      </c>
      <c r="G14" s="54" t="str">
        <f t="shared" si="1"/>
        <v>Logitech</v>
      </c>
      <c r="H14" s="54" t="str">
        <f t="shared" si="0"/>
        <v>Keyboard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AA3CF-5413-4586-AE95-E3A41519EACF}">
  <dimension ref="A1:F18"/>
  <sheetViews>
    <sheetView workbookViewId="0">
      <selection activeCell="C11" sqref="C11"/>
    </sheetView>
  </sheetViews>
  <sheetFormatPr defaultRowHeight="15"/>
  <sheetData>
    <row r="1" spans="1:6">
      <c r="B1" t="s">
        <v>398</v>
      </c>
    </row>
    <row r="2" spans="1:6">
      <c r="B2" t="s">
        <v>399</v>
      </c>
    </row>
    <row r="4" spans="1:6">
      <c r="A4" s="57" t="s">
        <v>387</v>
      </c>
      <c r="B4" s="58">
        <v>101</v>
      </c>
      <c r="C4" s="58">
        <v>102</v>
      </c>
      <c r="D4" s="58">
        <v>103</v>
      </c>
      <c r="E4" s="58">
        <v>104</v>
      </c>
    </row>
    <row r="5" spans="1:6">
      <c r="A5" s="53" t="s">
        <v>388</v>
      </c>
      <c r="B5" s="54" t="s">
        <v>390</v>
      </c>
      <c r="C5" s="54" t="s">
        <v>391</v>
      </c>
      <c r="D5" s="54" t="s">
        <v>391</v>
      </c>
      <c r="E5" s="54" t="s">
        <v>394</v>
      </c>
    </row>
    <row r="6" spans="1:6">
      <c r="A6" s="53" t="s">
        <v>389</v>
      </c>
      <c r="B6" s="54" t="s">
        <v>42</v>
      </c>
      <c r="C6" s="54" t="s">
        <v>392</v>
      </c>
      <c r="D6" s="54" t="s">
        <v>393</v>
      </c>
      <c r="E6" s="54" t="s">
        <v>395</v>
      </c>
    </row>
    <row r="7" spans="1:6">
      <c r="A7" s="34"/>
      <c r="C7" s="35"/>
      <c r="D7" s="35"/>
      <c r="E7" s="35"/>
      <c r="F7" s="35"/>
    </row>
    <row r="8" spans="1:6">
      <c r="A8" s="34"/>
      <c r="B8" s="27" t="s">
        <v>387</v>
      </c>
      <c r="C8" s="56" t="s">
        <v>389</v>
      </c>
      <c r="D8" s="56" t="s">
        <v>388</v>
      </c>
    </row>
    <row r="9" spans="1:6">
      <c r="B9" s="55">
        <v>104</v>
      </c>
      <c r="C9" s="54" t="str">
        <f>HLOOKUP(B9,A4:E6,3,0)</f>
        <v>Printer</v>
      </c>
      <c r="D9" s="59" t="str">
        <f>HLOOKUP(B9,A4:E6,2,0)</f>
        <v>HP</v>
      </c>
    </row>
    <row r="10" spans="1:6">
      <c r="B10" s="55">
        <v>103</v>
      </c>
      <c r="C10" s="54" t="str">
        <f>HLOOKUP(B10,A4:E6,3,0)</f>
        <v>Mouse</v>
      </c>
      <c r="D10" s="59" t="str">
        <f>HLOOKUP(B10,A4:E6,2,0)</f>
        <v>Logitech</v>
      </c>
    </row>
    <row r="11" spans="1:6">
      <c r="B11" s="55">
        <v>104</v>
      </c>
      <c r="C11" s="54" t="str">
        <f>HLOOKUP(B11,A4:E6,3,0)</f>
        <v>Printer</v>
      </c>
      <c r="D11" s="59" t="str">
        <f>HLOOKUP(B11,A4:E6,2,0)</f>
        <v>HP</v>
      </c>
    </row>
    <row r="12" spans="1:6">
      <c r="B12" s="55">
        <v>101</v>
      </c>
      <c r="C12" s="54" t="str">
        <f>HLOOKUP(B12,A4:E6,3,0)</f>
        <v>Computer</v>
      </c>
      <c r="D12" s="59" t="str">
        <f>HLOOKUP(B12,A4:E6,2,0)</f>
        <v>Dell</v>
      </c>
    </row>
    <row r="13" spans="1:6">
      <c r="B13" s="55">
        <v>102</v>
      </c>
      <c r="C13" s="54" t="str">
        <f>HLOOKUP(B13,A4:E6,3,0)</f>
        <v>Keyboard</v>
      </c>
      <c r="D13" s="59" t="str">
        <f>HLOOKUP(B13,A4:E6,2,0)</f>
        <v>Logitech</v>
      </c>
    </row>
    <row r="14" spans="1:6">
      <c r="B14" s="55">
        <v>103</v>
      </c>
      <c r="C14" s="54" t="str">
        <f>HLOOKUP(B14,A4:E6,3,0)</f>
        <v>Mouse</v>
      </c>
      <c r="D14" s="59" t="str">
        <f>HLOOKUP(B14,A4:E6,2,0)</f>
        <v>Logitech</v>
      </c>
    </row>
    <row r="15" spans="1:6">
      <c r="B15" s="55">
        <v>101</v>
      </c>
      <c r="C15" s="54" t="str">
        <f>HLOOKUP(B15,$A$4:$E$6,3,0)</f>
        <v>Computer</v>
      </c>
      <c r="D15" s="59" t="str">
        <f>HLOOKUP(B15,$A$4:$E$6,2,0)</f>
        <v>Dell</v>
      </c>
    </row>
    <row r="16" spans="1:6">
      <c r="B16" s="55">
        <v>104</v>
      </c>
      <c r="C16" s="54" t="str">
        <f t="shared" ref="C16:C18" si="0">HLOOKUP(B16,$A$4:$E$6,3,0)</f>
        <v>Printer</v>
      </c>
      <c r="D16" s="59" t="str">
        <f t="shared" ref="D16:D18" si="1">HLOOKUP(B16,$A$4:$E$6,2,0)</f>
        <v>HP</v>
      </c>
    </row>
    <row r="17" spans="2:4">
      <c r="B17" s="55">
        <v>101</v>
      </c>
      <c r="C17" s="54" t="str">
        <f t="shared" si="0"/>
        <v>Computer</v>
      </c>
      <c r="D17" s="59" t="str">
        <f t="shared" si="1"/>
        <v>Dell</v>
      </c>
    </row>
    <row r="18" spans="2:4">
      <c r="B18" s="55">
        <v>102</v>
      </c>
      <c r="C18" s="54" t="str">
        <f t="shared" si="0"/>
        <v>Keyboard</v>
      </c>
      <c r="D18" s="59" t="str">
        <f t="shared" si="1"/>
        <v>Logitech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84871-5DF5-4547-A2A7-3B563E87E615}">
  <dimension ref="A1:D21"/>
  <sheetViews>
    <sheetView topLeftCell="A3" workbookViewId="0">
      <selection activeCell="D22" sqref="D22"/>
    </sheetView>
  </sheetViews>
  <sheetFormatPr defaultRowHeight="15"/>
  <cols>
    <col min="1" max="1" width="11.7109375" customWidth="1"/>
    <col min="2" max="2" width="11.5703125" customWidth="1"/>
    <col min="3" max="3" width="13.28515625" customWidth="1"/>
    <col min="4" max="4" width="12.140625" customWidth="1"/>
  </cols>
  <sheetData>
    <row r="1" spans="1:4" ht="17.25">
      <c r="A1" s="60" t="s">
        <v>400</v>
      </c>
    </row>
    <row r="2" spans="1:4">
      <c r="A2" s="34" t="s">
        <v>401</v>
      </c>
    </row>
    <row r="4" spans="1:4">
      <c r="A4" s="62" t="s">
        <v>402</v>
      </c>
      <c r="B4" s="62" t="s">
        <v>265</v>
      </c>
      <c r="C4" s="62" t="s">
        <v>266</v>
      </c>
      <c r="D4" s="62" t="s">
        <v>267</v>
      </c>
    </row>
    <row r="5" spans="1:4">
      <c r="A5" s="54" t="s">
        <v>403</v>
      </c>
      <c r="B5" s="61">
        <v>5535</v>
      </c>
      <c r="C5" s="61">
        <v>5414</v>
      </c>
      <c r="D5" s="61">
        <v>9027</v>
      </c>
    </row>
    <row r="6" spans="1:4">
      <c r="A6" s="54" t="s">
        <v>404</v>
      </c>
      <c r="B6" s="61">
        <v>5013</v>
      </c>
      <c r="C6" s="61">
        <v>5107</v>
      </c>
      <c r="D6" s="61">
        <v>11667</v>
      </c>
    </row>
    <row r="7" spans="1:4">
      <c r="A7" s="54" t="s">
        <v>405</v>
      </c>
      <c r="B7" s="61">
        <v>6597</v>
      </c>
      <c r="C7" s="61">
        <v>3858</v>
      </c>
      <c r="D7" s="61">
        <v>1507</v>
      </c>
    </row>
    <row r="8" spans="1:4">
      <c r="A8" s="54" t="s">
        <v>406</v>
      </c>
      <c r="B8" s="61">
        <v>3195</v>
      </c>
      <c r="C8" s="61">
        <v>3654</v>
      </c>
      <c r="D8" s="61">
        <v>7225</v>
      </c>
    </row>
    <row r="10" spans="1:4">
      <c r="A10" s="17" t="s">
        <v>405</v>
      </c>
      <c r="B10" s="17" t="s">
        <v>267</v>
      </c>
      <c r="C10" s="63">
        <f>INDEX(A4:D8,MATCH(A10,A4:A8,0),MATCH(B10,A4:D4,0))</f>
        <v>1507</v>
      </c>
      <c r="D10" s="35" t="s">
        <v>407</v>
      </c>
    </row>
    <row r="11" spans="1:4">
      <c r="A11" s="2" t="s">
        <v>405</v>
      </c>
      <c r="B11" s="2" t="s">
        <v>265</v>
      </c>
      <c r="C11" s="54">
        <f>INDEX(A4:D8,MATCH(A11,A4:A8,0),MATCH(B11,A4:D4,0))</f>
        <v>6597</v>
      </c>
    </row>
    <row r="12" spans="1:4">
      <c r="A12" s="2" t="s">
        <v>405</v>
      </c>
      <c r="B12" s="2" t="s">
        <v>266</v>
      </c>
      <c r="C12" s="54">
        <f>INDEX(A4:D8,MATCH(A12,A4:A8,0),MATCH(B12,A4:D4,0))</f>
        <v>3858</v>
      </c>
    </row>
    <row r="13" spans="1:4">
      <c r="A13" s="54" t="s">
        <v>403</v>
      </c>
      <c r="B13" s="54" t="s">
        <v>267</v>
      </c>
      <c r="C13" s="54">
        <f>INDEX(A4:D8,MATCH(A13,A4:A8,0),MATCH(B13,A4:D4,0))</f>
        <v>9027</v>
      </c>
      <c r="D13">
        <f>INDEX(A4:D8,MATCH(A13,A4:A8,0),MATCH(B13,A4:D4,0))</f>
        <v>9027</v>
      </c>
    </row>
    <row r="14" spans="1:4">
      <c r="A14" s="2" t="s">
        <v>403</v>
      </c>
      <c r="B14" s="2" t="s">
        <v>265</v>
      </c>
      <c r="C14" s="2">
        <f>INDEX(A4:D8,MATCH(A14,A4:A8,0),MATCH(B14,A4:D4,0))</f>
        <v>5535</v>
      </c>
      <c r="D14">
        <f>INDEX(A4:D8,MATCH(A14,A4:A8,0),MATCH(B14,A4:D4,0))</f>
        <v>5535</v>
      </c>
    </row>
    <row r="15" spans="1:4">
      <c r="A15" s="2" t="s">
        <v>403</v>
      </c>
      <c r="B15" s="2" t="s">
        <v>266</v>
      </c>
      <c r="C15" s="2">
        <f>INDEX(A4:D8,MATCH(A15,A4:A8,0),MATCH(B15,A4:D4,0))</f>
        <v>5414</v>
      </c>
      <c r="D15">
        <f>INDEX(A4:D8,MATCH(A15,A4:A8,0),MATCH(B15,A4:D4,0))</f>
        <v>5414</v>
      </c>
    </row>
    <row r="16" spans="1:4">
      <c r="A16" s="54" t="s">
        <v>404</v>
      </c>
      <c r="B16" s="54" t="s">
        <v>265</v>
      </c>
      <c r="C16" s="2">
        <f>INDEX(A4:D8,MATCH(A16,A4:A8,0),MATCH(B16,A4:D4,0))</f>
        <v>5013</v>
      </c>
      <c r="D16">
        <f>INDEX(A4:D8,MATCH(A16,A4:A8,0),MATCH(B16,A4:D4,0))</f>
        <v>5013</v>
      </c>
    </row>
    <row r="17" spans="1:4">
      <c r="A17" s="2" t="s">
        <v>404</v>
      </c>
      <c r="B17" s="2" t="s">
        <v>266</v>
      </c>
      <c r="C17" s="2">
        <f>INDEX($A$4:$D$8,MATCH(A17,$A$4:$A$8,0),MATCH(B17,$A$4:$D$4,0))</f>
        <v>5107</v>
      </c>
      <c r="D17">
        <f>INDEX(A4:D8,MATCH(A17,A4:A8,0),MATCH(B17,A4:D4,0))</f>
        <v>5107</v>
      </c>
    </row>
    <row r="18" spans="1:4">
      <c r="A18" s="2" t="s">
        <v>404</v>
      </c>
      <c r="B18" s="2" t="s">
        <v>267</v>
      </c>
      <c r="C18" s="2">
        <f>INDEX(A4:D8,MATCH(A18,A4:A8,0),MATCH(B18,A4:D4,0))</f>
        <v>11667</v>
      </c>
      <c r="D18">
        <f>INDEX(A4:D8,MATCH(A18,A4:A8,0),MATCH(B18,A4:D4,0))</f>
        <v>11667</v>
      </c>
    </row>
    <row r="19" spans="1:4">
      <c r="A19" s="54" t="s">
        <v>406</v>
      </c>
      <c r="B19" s="54" t="s">
        <v>266</v>
      </c>
      <c r="C19" s="2">
        <f>INDEX(A4:D8,MATCH(A19,A4:A8,0),MATCH(B19,A4:D4,0))</f>
        <v>3654</v>
      </c>
      <c r="D19">
        <f>INDEX(A4:D8,MATCH(A19,A4:A8,0),MATCH(B19,A4:D4,0))</f>
        <v>3654</v>
      </c>
    </row>
    <row r="20" spans="1:4">
      <c r="A20" s="2" t="s">
        <v>406</v>
      </c>
      <c r="B20" s="2" t="s">
        <v>265</v>
      </c>
      <c r="C20" s="2">
        <f>INDEX(A4:D8,MATCH(A20,A4:A8,0),MATCH(B20,A4:D4,0))</f>
        <v>3195</v>
      </c>
      <c r="D20">
        <f>INDEX(A4:D8,MATCH(A20,A4:A8,0),MATCH(B20,A4:D4,0))</f>
        <v>3195</v>
      </c>
    </row>
    <row r="21" spans="1:4">
      <c r="A21" s="2" t="s">
        <v>406</v>
      </c>
      <c r="B21" s="2" t="s">
        <v>267</v>
      </c>
      <c r="C21" s="2">
        <f>INDEX(A4:D8,MATCH(A21,A4:A8,0),MATCH(B21,A4:D4,0))</f>
        <v>7225</v>
      </c>
      <c r="D21">
        <f>INDEX(A4:D8,MATCH(A21,A4:A8,0),MATCH(B21,A4:D4,0))</f>
        <v>7225</v>
      </c>
    </row>
  </sheetData>
  <sortState xmlns:xlrd2="http://schemas.microsoft.com/office/spreadsheetml/2017/richdata2" ref="A11:B21">
    <sortCondition ref="A11:A21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9C310-74DA-48DC-9BAC-A6B1FD58CBB1}">
  <dimension ref="A1:H23"/>
  <sheetViews>
    <sheetView workbookViewId="0">
      <selection activeCell="H11" sqref="H11"/>
    </sheetView>
  </sheetViews>
  <sheetFormatPr defaultRowHeight="15"/>
  <cols>
    <col min="1" max="1" width="11.7109375" customWidth="1"/>
    <col min="2" max="2" width="14.28515625" customWidth="1"/>
    <col min="3" max="3" width="15.28515625" customWidth="1"/>
    <col min="4" max="6" width="13.42578125" customWidth="1"/>
    <col min="7" max="7" width="13" customWidth="1"/>
    <col min="8" max="8" width="12.5703125" customWidth="1"/>
  </cols>
  <sheetData>
    <row r="1" spans="1:8" ht="17.25">
      <c r="D1" s="60" t="s">
        <v>408</v>
      </c>
      <c r="E1" s="60"/>
      <c r="F1" s="60"/>
    </row>
    <row r="2" spans="1:8">
      <c r="C2" s="34" t="s">
        <v>409</v>
      </c>
    </row>
    <row r="3" spans="1:8" ht="15.75">
      <c r="A3" s="65" t="s">
        <v>410</v>
      </c>
      <c r="B3" s="65" t="s">
        <v>411</v>
      </c>
      <c r="C3" s="65" t="s">
        <v>412</v>
      </c>
      <c r="D3" s="65" t="s">
        <v>413</v>
      </c>
      <c r="E3" s="65"/>
      <c r="F3" s="65" t="s">
        <v>413</v>
      </c>
      <c r="G3" s="65" t="s">
        <v>411</v>
      </c>
    </row>
    <row r="4" spans="1:8" ht="15.75">
      <c r="A4" s="66" t="s">
        <v>414</v>
      </c>
      <c r="B4" s="67">
        <v>92671</v>
      </c>
      <c r="C4" s="66" t="s">
        <v>262</v>
      </c>
      <c r="D4" s="66" t="s">
        <v>415</v>
      </c>
      <c r="E4" s="68"/>
      <c r="F4" s="66" t="s">
        <v>415</v>
      </c>
      <c r="G4" s="67">
        <v>92671</v>
      </c>
    </row>
    <row r="5" spans="1:8" ht="15.75">
      <c r="A5" s="66" t="s">
        <v>416</v>
      </c>
      <c r="B5" s="67">
        <v>84120</v>
      </c>
      <c r="C5" s="66" t="s">
        <v>417</v>
      </c>
      <c r="D5" s="66" t="s">
        <v>418</v>
      </c>
      <c r="E5" s="68"/>
      <c r="F5" s="66" t="s">
        <v>418</v>
      </c>
      <c r="G5" s="66">
        <f>INDEX(A3:D23,MATCH(F5,D3:D23,0),MATCH(G3,A3:D3,0))</f>
        <v>84120</v>
      </c>
      <c r="H5">
        <f>INDEX(A3:D23,MATCH(F5,D3:D23,0),MATCH(G3,A3:D3,0))</f>
        <v>84120</v>
      </c>
    </row>
    <row r="6" spans="1:8" ht="15.75">
      <c r="A6" s="66" t="s">
        <v>419</v>
      </c>
      <c r="B6" s="67">
        <v>50793</v>
      </c>
      <c r="C6" s="66" t="s">
        <v>420</v>
      </c>
      <c r="D6" s="66" t="s">
        <v>421</v>
      </c>
      <c r="E6" s="68"/>
      <c r="F6" s="66" t="s">
        <v>421</v>
      </c>
      <c r="G6" s="66">
        <f>INDEX(A3:D23,MATCH(F6,D3:D23,0),MATCH(G3,A3:D3,0))</f>
        <v>50793</v>
      </c>
      <c r="H6">
        <f>INDEX(A3:D23,MATCH(F6,D3:D23,0),MATCH(G3,A3:D3,0))</f>
        <v>50793</v>
      </c>
    </row>
    <row r="7" spans="1:8" ht="15.75">
      <c r="A7" s="66" t="s">
        <v>422</v>
      </c>
      <c r="B7" s="67">
        <v>77833</v>
      </c>
      <c r="C7" s="66" t="s">
        <v>423</v>
      </c>
      <c r="D7" s="66" t="s">
        <v>424</v>
      </c>
      <c r="E7" s="68"/>
      <c r="F7" s="66" t="s">
        <v>424</v>
      </c>
      <c r="G7" s="66">
        <f>INDEX(A3:D23,MATCH(F7,D3:D23,0),MATCH(G3,A3:D3,0))</f>
        <v>77833</v>
      </c>
      <c r="H7">
        <f>INDEX(A3:D23,MATCH(F7,D3:D23,0),MATCH(G3,A3:D3,))</f>
        <v>77833</v>
      </c>
    </row>
    <row r="8" spans="1:8" ht="15.75">
      <c r="A8" s="66" t="s">
        <v>425</v>
      </c>
      <c r="B8" s="67">
        <v>58914</v>
      </c>
      <c r="C8" s="66" t="s">
        <v>72</v>
      </c>
      <c r="D8" s="66" t="s">
        <v>426</v>
      </c>
      <c r="E8" s="68"/>
      <c r="F8" s="66" t="s">
        <v>426</v>
      </c>
      <c r="G8" s="66">
        <f>INDEX(A3:D23,MATCH(F8,D3:D23,0),MATCH(G3,A3:D3,0))</f>
        <v>58914</v>
      </c>
      <c r="H8">
        <f>INDEX(A3:D23,MATCH(F8,D3:D23,0),MATCH(G3,A3:D3,0))</f>
        <v>58914</v>
      </c>
    </row>
    <row r="9" spans="1:8" ht="15.75">
      <c r="A9" s="66" t="s">
        <v>427</v>
      </c>
      <c r="B9" s="67">
        <v>51096</v>
      </c>
      <c r="C9" s="66" t="s">
        <v>251</v>
      </c>
      <c r="D9" s="66" t="s">
        <v>428</v>
      </c>
      <c r="E9" s="68"/>
      <c r="F9" s="66" t="s">
        <v>428</v>
      </c>
      <c r="G9" s="66">
        <f>INDEX(A3:D23,MATCH(F9,D3:D23,0),MATCH(G3,A3:D3,0))</f>
        <v>51096</v>
      </c>
      <c r="H9">
        <f>INDEX(A3:D23,MATCH(F9,D3:D23,0),MATCH(G3,A3:D3,0))</f>
        <v>51096</v>
      </c>
    </row>
    <row r="10" spans="1:8" ht="15.75">
      <c r="A10" s="66" t="s">
        <v>429</v>
      </c>
      <c r="B10" s="67">
        <v>83735</v>
      </c>
      <c r="C10" s="66" t="s">
        <v>420</v>
      </c>
      <c r="D10" s="66" t="s">
        <v>430</v>
      </c>
      <c r="E10" s="68"/>
      <c r="F10" s="66" t="s">
        <v>430</v>
      </c>
      <c r="G10" s="66">
        <f>INDEX(A3:D23,MATCH(F10,D3:D23,0),MATCH(G3,A3:D3,0))</f>
        <v>83735</v>
      </c>
      <c r="H10">
        <f>INDEX(A3:D23,MATCH(F10,D3:D23,0),MATCH(G3,A3:D3,0))</f>
        <v>83735</v>
      </c>
    </row>
    <row r="11" spans="1:8" ht="15.75">
      <c r="A11" s="66" t="s">
        <v>431</v>
      </c>
      <c r="B11" s="67">
        <v>74418</v>
      </c>
      <c r="C11" s="66" t="s">
        <v>251</v>
      </c>
      <c r="D11" s="66" t="s">
        <v>432</v>
      </c>
      <c r="E11" s="68"/>
      <c r="F11" s="66" t="s">
        <v>432</v>
      </c>
      <c r="G11" s="66">
        <f>INDEX(A3:D23,MATCH(F11,D3:D23,0),MATCH(G3,A3:D3,0))</f>
        <v>74418</v>
      </c>
    </row>
    <row r="12" spans="1:8" ht="15.75">
      <c r="A12" s="66" t="s">
        <v>433</v>
      </c>
      <c r="B12" s="67">
        <v>51366</v>
      </c>
      <c r="C12" s="66" t="s">
        <v>262</v>
      </c>
      <c r="D12" s="66" t="s">
        <v>434</v>
      </c>
      <c r="E12" s="68"/>
      <c r="F12" s="66" t="s">
        <v>434</v>
      </c>
      <c r="G12" s="66">
        <f>INDEX(A3:D23,MATCH(F12,D3:D23,0),MATCH(G3,A3:D3,0))</f>
        <v>51366</v>
      </c>
    </row>
    <row r="13" spans="1:8" ht="15.75">
      <c r="A13" s="66" t="s">
        <v>435</v>
      </c>
      <c r="B13" s="67">
        <v>54600</v>
      </c>
      <c r="C13" s="66" t="s">
        <v>72</v>
      </c>
      <c r="D13" s="66" t="s">
        <v>436</v>
      </c>
      <c r="E13" s="68"/>
      <c r="F13" s="66" t="s">
        <v>436</v>
      </c>
      <c r="G13" s="66">
        <f>INDEX(A3:D23,MATCH(F13,D3:D23,0),MATCH(G3,A3:D3,0))</f>
        <v>54600</v>
      </c>
    </row>
    <row r="14" spans="1:8" ht="15.75">
      <c r="A14" s="66" t="s">
        <v>437</v>
      </c>
      <c r="B14" s="67">
        <v>93509</v>
      </c>
      <c r="C14" s="66" t="s">
        <v>417</v>
      </c>
      <c r="D14" s="66" t="s">
        <v>438</v>
      </c>
      <c r="E14" s="68"/>
      <c r="F14" s="66" t="s">
        <v>438</v>
      </c>
      <c r="G14" s="66">
        <f>INDEX(A3:D23,MATCH(F14,D3:D23,0),MATCH(G3,A3:D3,0))</f>
        <v>93509</v>
      </c>
    </row>
    <row r="15" spans="1:8" ht="15.75">
      <c r="A15" s="66" t="s">
        <v>439</v>
      </c>
      <c r="B15" s="67">
        <v>80105</v>
      </c>
      <c r="C15" s="66" t="s">
        <v>72</v>
      </c>
      <c r="D15" s="66" t="s">
        <v>440</v>
      </c>
      <c r="E15" s="68"/>
      <c r="F15" s="66" t="s">
        <v>440</v>
      </c>
      <c r="G15" s="66">
        <f>INDEX(A3:D23,MATCH(F15,D3:D23,0),MATCH(G3,A3:D3,0))</f>
        <v>80105</v>
      </c>
    </row>
    <row r="16" spans="1:8" ht="15.75">
      <c r="A16" s="66" t="s">
        <v>13</v>
      </c>
      <c r="B16" s="67">
        <v>60802</v>
      </c>
      <c r="C16" s="66" t="s">
        <v>420</v>
      </c>
      <c r="D16" s="66" t="s">
        <v>441</v>
      </c>
      <c r="E16" s="68"/>
      <c r="F16" s="66" t="s">
        <v>441</v>
      </c>
      <c r="G16" s="66">
        <f>INDEX(A3:D23,MATCH(F16,D3:D23,0),MATCH(G3,A3:D3,0))</f>
        <v>60802</v>
      </c>
    </row>
    <row r="17" spans="1:7" ht="15.75">
      <c r="A17" s="66" t="s">
        <v>16</v>
      </c>
      <c r="B17" s="67">
        <v>76260</v>
      </c>
      <c r="C17" s="66" t="s">
        <v>262</v>
      </c>
      <c r="D17" s="66" t="s">
        <v>442</v>
      </c>
      <c r="E17" s="68"/>
      <c r="F17" s="66" t="s">
        <v>442</v>
      </c>
      <c r="G17" s="66">
        <f>INDEX(A3:D23,MATCH(F17,D3:D23,0),MATCH(G3,A3:D3,0))</f>
        <v>76260</v>
      </c>
    </row>
    <row r="18" spans="1:7" ht="15.75">
      <c r="A18" s="66" t="s">
        <v>443</v>
      </c>
      <c r="B18" s="67">
        <v>88965</v>
      </c>
      <c r="C18" s="66" t="s">
        <v>251</v>
      </c>
      <c r="D18" s="66" t="s">
        <v>444</v>
      </c>
      <c r="E18" s="68"/>
      <c r="F18" s="66" t="s">
        <v>444</v>
      </c>
      <c r="G18" s="66">
        <f>INDEX(A3:D23,MATCH(F18,D3:D23,0),MATCH(G3,A3:D3,0))</f>
        <v>88965</v>
      </c>
    </row>
    <row r="19" spans="1:7" ht="15.75">
      <c r="A19" s="66" t="s">
        <v>445</v>
      </c>
      <c r="B19" s="67">
        <v>63288</v>
      </c>
      <c r="C19" s="66" t="s">
        <v>417</v>
      </c>
      <c r="D19" s="66" t="s">
        <v>446</v>
      </c>
      <c r="E19" s="68"/>
      <c r="F19" s="66" t="s">
        <v>446</v>
      </c>
      <c r="G19" s="66">
        <f>INDEX(A3:D23,MATCH(F19,D3:D23,0),MATCH(G3,A3:D3,0))</f>
        <v>63288</v>
      </c>
    </row>
    <row r="20" spans="1:7" ht="15.75">
      <c r="A20" s="66" t="s">
        <v>447</v>
      </c>
      <c r="B20" s="67">
        <v>45742</v>
      </c>
      <c r="C20" s="66" t="s">
        <v>262</v>
      </c>
      <c r="D20" s="66" t="s">
        <v>448</v>
      </c>
      <c r="E20" s="68"/>
      <c r="F20" s="66" t="s">
        <v>448</v>
      </c>
      <c r="G20" s="66">
        <f>INDEX(A3:D23,MATCH(F20,D3:D23,0),MATCH(G3,A3:D3,0))</f>
        <v>45742</v>
      </c>
    </row>
    <row r="21" spans="1:7" ht="15.75">
      <c r="A21" s="66" t="s">
        <v>331</v>
      </c>
      <c r="B21" s="67">
        <v>88354</v>
      </c>
      <c r="C21" s="66" t="s">
        <v>420</v>
      </c>
      <c r="D21" s="66" t="s">
        <v>449</v>
      </c>
      <c r="E21" s="68"/>
      <c r="F21" s="66" t="s">
        <v>449</v>
      </c>
      <c r="G21" s="66">
        <f>INDEX(A3:D23,MATCH(F21,D3:D23,0),MATCH(G3,A3:D3,0))</f>
        <v>88354</v>
      </c>
    </row>
    <row r="22" spans="1:7" ht="15.75">
      <c r="A22" s="66" t="s">
        <v>450</v>
      </c>
      <c r="B22" s="67">
        <v>76641</v>
      </c>
      <c r="C22" s="66" t="s">
        <v>420</v>
      </c>
      <c r="D22" s="66" t="s">
        <v>451</v>
      </c>
      <c r="E22" s="68"/>
      <c r="F22" s="66" t="s">
        <v>451</v>
      </c>
      <c r="G22" s="66">
        <f>INDEX(A3:D23,MATCH(F22,D3:D23,0),MATCH(G3,A3:D3,0))</f>
        <v>76641</v>
      </c>
    </row>
    <row r="23" spans="1:7" ht="15.75">
      <c r="A23" s="66" t="s">
        <v>452</v>
      </c>
      <c r="B23" s="67">
        <v>61678</v>
      </c>
      <c r="C23" s="66" t="s">
        <v>262</v>
      </c>
      <c r="D23" s="66" t="s">
        <v>453</v>
      </c>
      <c r="E23" s="68"/>
      <c r="F23" s="66" t="s">
        <v>453</v>
      </c>
      <c r="G23" s="66">
        <f>INDEX(A3:D23,MATCH(F23,D3:D23,0),MATCH(G3,A3:G3,0))</f>
        <v>61678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71355-4B3C-44A4-BF81-280CF87BFC9B}">
  <dimension ref="A1:G38"/>
  <sheetViews>
    <sheetView topLeftCell="A5" workbookViewId="0">
      <selection activeCell="G10" sqref="G10"/>
    </sheetView>
  </sheetViews>
  <sheetFormatPr defaultRowHeight="15"/>
  <cols>
    <col min="1" max="1" width="16" customWidth="1"/>
    <col min="2" max="3" width="12.7109375" customWidth="1"/>
    <col min="4" max="4" width="12" customWidth="1"/>
    <col min="5" max="5" width="11.7109375" customWidth="1"/>
    <col min="6" max="6" width="13" customWidth="1"/>
  </cols>
  <sheetData>
    <row r="1" spans="1:7" ht="17.25">
      <c r="A1" s="60" t="s">
        <v>454</v>
      </c>
    </row>
    <row r="2" spans="1:7">
      <c r="A2" s="34" t="s">
        <v>455</v>
      </c>
    </row>
    <row r="4" spans="1:7" ht="15.75">
      <c r="A4" s="70" t="s">
        <v>410</v>
      </c>
      <c r="B4" s="70" t="s">
        <v>411</v>
      </c>
      <c r="C4" s="70" t="s">
        <v>412</v>
      </c>
      <c r="D4" s="70" t="s">
        <v>413</v>
      </c>
      <c r="E4" s="70" t="s">
        <v>413</v>
      </c>
      <c r="F4" s="70" t="s">
        <v>411</v>
      </c>
    </row>
    <row r="5" spans="1:7" ht="15.75">
      <c r="A5" s="71" t="s">
        <v>414</v>
      </c>
      <c r="B5" s="72">
        <v>92671</v>
      </c>
      <c r="C5" s="71" t="s">
        <v>262</v>
      </c>
      <c r="D5" s="71" t="s">
        <v>415</v>
      </c>
      <c r="E5" s="71" t="s">
        <v>415</v>
      </c>
      <c r="F5" s="73">
        <v>92671</v>
      </c>
    </row>
    <row r="6" spans="1:7" ht="15.75">
      <c r="A6" s="71" t="s">
        <v>416</v>
      </c>
      <c r="B6" s="72">
        <v>84120</v>
      </c>
      <c r="C6" s="71" t="s">
        <v>417</v>
      </c>
      <c r="D6" s="71" t="s">
        <v>418</v>
      </c>
      <c r="E6" s="71" t="s">
        <v>418</v>
      </c>
      <c r="F6" s="71">
        <f>LOOKUP(E6,D4:D24, B4:B24)</f>
        <v>84120</v>
      </c>
      <c r="G6">
        <f>LOOKUP(E6,E4:E24,B4:B24)</f>
        <v>84120</v>
      </c>
    </row>
    <row r="7" spans="1:7" ht="15.75">
      <c r="A7" s="71" t="s">
        <v>419</v>
      </c>
      <c r="B7" s="72">
        <v>50793</v>
      </c>
      <c r="C7" s="71" t="s">
        <v>420</v>
      </c>
      <c r="D7" s="71" t="s">
        <v>421</v>
      </c>
      <c r="E7" s="71" t="s">
        <v>421</v>
      </c>
      <c r="F7" s="71">
        <f>LOOKUP(E7,D4:D24, B4:B24)</f>
        <v>50793</v>
      </c>
      <c r="G7">
        <f>LOOKUP(E7,E4:E24,B4:B24)</f>
        <v>50793</v>
      </c>
    </row>
    <row r="8" spans="1:7" ht="15.75">
      <c r="A8" s="71" t="s">
        <v>422</v>
      </c>
      <c r="B8" s="72">
        <v>77833</v>
      </c>
      <c r="C8" s="71" t="s">
        <v>423</v>
      </c>
      <c r="D8" s="71" t="s">
        <v>424</v>
      </c>
      <c r="E8" s="71" t="s">
        <v>424</v>
      </c>
      <c r="F8" s="71">
        <f>LOOKUP(E8,D4:D24, B4:B24)</f>
        <v>77833</v>
      </c>
      <c r="G8">
        <f>LOOKUP(E8,E4:E24,B4:B24)</f>
        <v>77833</v>
      </c>
    </row>
    <row r="9" spans="1:7" ht="15.75">
      <c r="A9" s="71" t="s">
        <v>425</v>
      </c>
      <c r="B9" s="72">
        <v>58914</v>
      </c>
      <c r="C9" s="71" t="s">
        <v>72</v>
      </c>
      <c r="D9" s="71" t="s">
        <v>426</v>
      </c>
      <c r="E9" s="71" t="s">
        <v>426</v>
      </c>
      <c r="F9" s="71">
        <f>LOOKUP(E9, D4:D24, B4:B24)</f>
        <v>58914</v>
      </c>
      <c r="G9">
        <f>LOOKUP(E9,E4:E24,B4:B24)</f>
        <v>58914</v>
      </c>
    </row>
    <row r="10" spans="1:7" ht="15.75">
      <c r="A10" s="71" t="s">
        <v>427</v>
      </c>
      <c r="B10" s="72">
        <v>51096</v>
      </c>
      <c r="C10" s="71" t="s">
        <v>251</v>
      </c>
      <c r="D10" s="71" t="s">
        <v>428</v>
      </c>
      <c r="E10" s="71" t="s">
        <v>428</v>
      </c>
      <c r="F10" s="71">
        <f>LOOKUP(E10,D4:D24, B4:B24)</f>
        <v>51096</v>
      </c>
    </row>
    <row r="11" spans="1:7" ht="15.75">
      <c r="A11" s="71" t="s">
        <v>429</v>
      </c>
      <c r="B11" s="72">
        <v>83735</v>
      </c>
      <c r="C11" s="71" t="s">
        <v>420</v>
      </c>
      <c r="D11" s="71" t="s">
        <v>430</v>
      </c>
      <c r="E11" s="71" t="s">
        <v>430</v>
      </c>
      <c r="F11" s="71">
        <f>LOOKUP(E11,D4:D24,B4:B24)</f>
        <v>83735</v>
      </c>
    </row>
    <row r="12" spans="1:7" ht="15.75">
      <c r="A12" s="71" t="s">
        <v>431</v>
      </c>
      <c r="B12" s="72">
        <v>74418</v>
      </c>
      <c r="C12" s="71" t="s">
        <v>251</v>
      </c>
      <c r="D12" s="71" t="s">
        <v>432</v>
      </c>
      <c r="E12" s="71" t="s">
        <v>432</v>
      </c>
      <c r="F12" s="71">
        <f>LOOKUP(E12,D4:D24,B4:B24)</f>
        <v>74418</v>
      </c>
    </row>
    <row r="13" spans="1:7" ht="15.75">
      <c r="A13" s="71" t="s">
        <v>433</v>
      </c>
      <c r="B13" s="72">
        <v>51366</v>
      </c>
      <c r="C13" s="71" t="s">
        <v>262</v>
      </c>
      <c r="D13" s="71" t="s">
        <v>434</v>
      </c>
      <c r="E13" s="71" t="s">
        <v>434</v>
      </c>
      <c r="F13" s="71">
        <f>LOOKUP(E13,D4:D24,B4:B24)</f>
        <v>51366</v>
      </c>
    </row>
    <row r="14" spans="1:7" ht="15.75">
      <c r="A14" s="71" t="s">
        <v>435</v>
      </c>
      <c r="B14" s="72">
        <v>54600</v>
      </c>
      <c r="C14" s="71" t="s">
        <v>72</v>
      </c>
      <c r="D14" s="71" t="s">
        <v>436</v>
      </c>
      <c r="E14" s="71" t="s">
        <v>436</v>
      </c>
      <c r="F14" s="71">
        <f>LOOKUP(E14,D4:D24,B4:B24)</f>
        <v>54600</v>
      </c>
    </row>
    <row r="15" spans="1:7" ht="15.75">
      <c r="A15" s="71" t="s">
        <v>437</v>
      </c>
      <c r="B15" s="72">
        <v>93509</v>
      </c>
      <c r="C15" s="71" t="s">
        <v>417</v>
      </c>
      <c r="D15" s="71" t="s">
        <v>438</v>
      </c>
      <c r="E15" s="71" t="s">
        <v>438</v>
      </c>
      <c r="F15" s="71">
        <f>LOOKUP(E15,D4:D24,B4:B24)</f>
        <v>93509</v>
      </c>
    </row>
    <row r="16" spans="1:7" ht="15.75">
      <c r="A16" s="71" t="s">
        <v>439</v>
      </c>
      <c r="B16" s="72">
        <v>80105</v>
      </c>
      <c r="C16" s="71" t="s">
        <v>72</v>
      </c>
      <c r="D16" s="71" t="s">
        <v>440</v>
      </c>
      <c r="E16" s="71" t="s">
        <v>440</v>
      </c>
      <c r="F16" s="71">
        <f>LOOKUP(E16,D4:D24,B4:B24)</f>
        <v>80105</v>
      </c>
    </row>
    <row r="17" spans="1:6" ht="15.75">
      <c r="A17" s="71" t="s">
        <v>13</v>
      </c>
      <c r="B17" s="72">
        <v>60802</v>
      </c>
      <c r="C17" s="71" t="s">
        <v>420</v>
      </c>
      <c r="D17" s="71" t="s">
        <v>441</v>
      </c>
      <c r="E17" s="71" t="s">
        <v>441</v>
      </c>
      <c r="F17" s="71">
        <f>LOOKUP(E17,D4:D24,B4:B24)</f>
        <v>60802</v>
      </c>
    </row>
    <row r="18" spans="1:6" ht="15.75">
      <c r="A18" s="71" t="s">
        <v>16</v>
      </c>
      <c r="B18" s="72">
        <v>76260</v>
      </c>
      <c r="C18" s="71" t="s">
        <v>262</v>
      </c>
      <c r="D18" s="71" t="s">
        <v>442</v>
      </c>
      <c r="E18" s="71" t="s">
        <v>442</v>
      </c>
      <c r="F18" s="71">
        <f>LOOKUP(E18,D4:D24,B4:B24)</f>
        <v>76260</v>
      </c>
    </row>
    <row r="19" spans="1:6" ht="15.75">
      <c r="A19" s="71" t="s">
        <v>443</v>
      </c>
      <c r="B19" s="72">
        <v>88965</v>
      </c>
      <c r="C19" s="71" t="s">
        <v>251</v>
      </c>
      <c r="D19" s="71" t="s">
        <v>444</v>
      </c>
      <c r="E19" s="71" t="s">
        <v>444</v>
      </c>
      <c r="F19" s="71">
        <f>LOOKUP(E19,D4:D24,B4:B24)</f>
        <v>88965</v>
      </c>
    </row>
    <row r="20" spans="1:6" ht="15.75">
      <c r="A20" s="71" t="s">
        <v>445</v>
      </c>
      <c r="B20" s="72">
        <v>63288</v>
      </c>
      <c r="C20" s="71" t="s">
        <v>417</v>
      </c>
      <c r="D20" s="71" t="s">
        <v>446</v>
      </c>
      <c r="E20" s="71" t="s">
        <v>446</v>
      </c>
      <c r="F20" s="71">
        <f>LOOKUP(E20,D4:D24,B4:B24)</f>
        <v>63288</v>
      </c>
    </row>
    <row r="21" spans="1:6" ht="15.75">
      <c r="A21" s="71" t="s">
        <v>447</v>
      </c>
      <c r="B21" s="72">
        <v>45742</v>
      </c>
      <c r="C21" s="71" t="s">
        <v>262</v>
      </c>
      <c r="D21" s="71" t="s">
        <v>448</v>
      </c>
      <c r="E21" s="71" t="s">
        <v>448</v>
      </c>
      <c r="F21" s="71">
        <f>LOOKUP(E21,D4:D24,B4:B24)</f>
        <v>45742</v>
      </c>
    </row>
    <row r="22" spans="1:6" ht="15.75">
      <c r="A22" s="71" t="s">
        <v>331</v>
      </c>
      <c r="B22" s="72">
        <v>88354</v>
      </c>
      <c r="C22" s="71" t="s">
        <v>420</v>
      </c>
      <c r="D22" s="71" t="s">
        <v>449</v>
      </c>
      <c r="E22" s="71" t="s">
        <v>449</v>
      </c>
      <c r="F22" s="71">
        <f t="shared" ref="F22:F23" si="0">LOOKUP(E22,D5:D25,B5:B25)</f>
        <v>88354</v>
      </c>
    </row>
    <row r="23" spans="1:6" ht="15.75">
      <c r="A23" s="71" t="s">
        <v>450</v>
      </c>
      <c r="B23" s="72">
        <v>76641</v>
      </c>
      <c r="C23" s="71" t="s">
        <v>420</v>
      </c>
      <c r="D23" s="71" t="s">
        <v>451</v>
      </c>
      <c r="E23" s="71" t="s">
        <v>451</v>
      </c>
      <c r="F23" s="71">
        <f t="shared" si="0"/>
        <v>76641</v>
      </c>
    </row>
    <row r="24" spans="1:6" ht="15.75">
      <c r="A24" s="71" t="s">
        <v>452</v>
      </c>
      <c r="B24" s="72">
        <v>61678</v>
      </c>
      <c r="C24" s="71" t="s">
        <v>262</v>
      </c>
      <c r="D24" s="71" t="s">
        <v>453</v>
      </c>
      <c r="E24" s="71" t="s">
        <v>453</v>
      </c>
      <c r="F24" s="71">
        <f ca="1">LOOKUP(E24,D7:D26,B7:B27)</f>
        <v>61678</v>
      </c>
    </row>
    <row r="27" spans="1:6" ht="15.75">
      <c r="A27" s="64" t="s">
        <v>460</v>
      </c>
      <c r="D27" s="69" t="s">
        <v>459</v>
      </c>
    </row>
    <row r="28" spans="1:6" ht="15.75">
      <c r="A28" s="64"/>
      <c r="E28" s="69"/>
    </row>
    <row r="29" spans="1:6" ht="15.75">
      <c r="A29" s="64"/>
      <c r="B29" t="s">
        <v>423</v>
      </c>
      <c r="C29" t="s">
        <v>251</v>
      </c>
      <c r="D29" t="s">
        <v>420</v>
      </c>
      <c r="E29" s="69"/>
    </row>
    <row r="30" spans="1:6" ht="15.75">
      <c r="A30" s="64"/>
      <c r="B30">
        <f>COUNTIF(C5:C24,"HR")</f>
        <v>1</v>
      </c>
      <c r="C30">
        <f>COUNTIF(C5:C24,"IT")</f>
        <v>3</v>
      </c>
      <c r="D30">
        <f>COUNTIF(C5:C24,"Marketing")</f>
        <v>5</v>
      </c>
      <c r="E30" s="69"/>
    </row>
    <row r="31" spans="1:6" ht="15.75">
      <c r="A31" s="64"/>
      <c r="E31" s="69"/>
    </row>
    <row r="32" spans="1:6" ht="15.75">
      <c r="A32" t="s">
        <v>456</v>
      </c>
      <c r="E32" s="69" t="s">
        <v>457</v>
      </c>
    </row>
    <row r="33" spans="1:5" ht="15.75">
      <c r="B33">
        <f>SUMIF(A5:A24,"Santosh",B5:B24)</f>
        <v>93509</v>
      </c>
      <c r="E33" s="69"/>
    </row>
    <row r="34" spans="1:5" ht="15.75">
      <c r="E34" s="69"/>
    </row>
    <row r="35" spans="1:5">
      <c r="A35" s="35" t="s">
        <v>458</v>
      </c>
      <c r="E35" s="48" t="s">
        <v>457</v>
      </c>
    </row>
    <row r="37" spans="1:5">
      <c r="A37" t="s">
        <v>251</v>
      </c>
      <c r="B37" t="s">
        <v>250</v>
      </c>
    </row>
    <row r="38" spans="1:5">
      <c r="A38">
        <f>SUMIF(C5:C24,"IT",B5:B24)</f>
        <v>214479</v>
      </c>
      <c r="B38">
        <f>SUMIF(C5:C24,"Marketing",B5:B24)</f>
        <v>360325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BC413-7946-43D2-84B4-5DD92FAE77EF}">
  <dimension ref="A1:G17"/>
  <sheetViews>
    <sheetView workbookViewId="0">
      <selection activeCell="F5" sqref="F5"/>
    </sheetView>
  </sheetViews>
  <sheetFormatPr defaultRowHeight="15"/>
  <sheetData>
    <row r="1" spans="1:7" ht="17.25">
      <c r="E1" s="60" t="s">
        <v>461</v>
      </c>
    </row>
    <row r="2" spans="1:7">
      <c r="E2" s="34" t="s">
        <v>462</v>
      </c>
    </row>
    <row r="3" spans="1:7">
      <c r="A3" s="53" t="s">
        <v>59</v>
      </c>
      <c r="B3" s="53" t="s">
        <v>46</v>
      </c>
      <c r="C3" s="53" t="s">
        <v>47</v>
      </c>
      <c r="D3" s="53" t="s">
        <v>146</v>
      </c>
      <c r="E3" s="53" t="s">
        <v>463</v>
      </c>
      <c r="F3" s="53" t="s">
        <v>464</v>
      </c>
      <c r="G3" s="2"/>
    </row>
    <row r="4" spans="1:7">
      <c r="A4" s="53" t="s">
        <v>465</v>
      </c>
      <c r="B4" s="54" t="s">
        <v>466</v>
      </c>
      <c r="C4" s="54" t="s">
        <v>466</v>
      </c>
      <c r="D4" s="54" t="s">
        <v>467</v>
      </c>
      <c r="E4" s="54" t="s">
        <v>466</v>
      </c>
      <c r="F4" s="53" t="b">
        <v>0</v>
      </c>
    </row>
    <row r="5" spans="1:7">
      <c r="A5" s="53" t="s">
        <v>468</v>
      </c>
      <c r="B5" s="54" t="s">
        <v>466</v>
      </c>
      <c r="C5" s="54" t="s">
        <v>466</v>
      </c>
      <c r="D5" s="54" t="s">
        <v>466</v>
      </c>
      <c r="E5" s="54" t="s">
        <v>466</v>
      </c>
      <c r="F5" s="53" t="b">
        <f t="shared" ref="F5:F10" si="0">AND(B5="Pass",C5="Pass",D5="Pass",E5="Pass")</f>
        <v>1</v>
      </c>
    </row>
    <row r="6" spans="1:7">
      <c r="A6" s="53" t="s">
        <v>469</v>
      </c>
      <c r="B6" s="54" t="s">
        <v>466</v>
      </c>
      <c r="C6" s="54" t="s">
        <v>467</v>
      </c>
      <c r="D6" s="54" t="s">
        <v>466</v>
      </c>
      <c r="E6" s="54" t="s">
        <v>466</v>
      </c>
      <c r="F6" s="53" t="b">
        <f t="shared" si="0"/>
        <v>0</v>
      </c>
    </row>
    <row r="7" spans="1:7">
      <c r="A7" s="53" t="s">
        <v>470</v>
      </c>
      <c r="B7" s="54" t="s">
        <v>466</v>
      </c>
      <c r="C7" s="54" t="s">
        <v>466</v>
      </c>
      <c r="D7" s="54" t="s">
        <v>466</v>
      </c>
      <c r="E7" s="54" t="s">
        <v>466</v>
      </c>
      <c r="F7" s="53" t="b">
        <f t="shared" si="0"/>
        <v>1</v>
      </c>
    </row>
    <row r="8" spans="1:7">
      <c r="A8" s="53" t="s">
        <v>157</v>
      </c>
      <c r="B8" s="54" t="s">
        <v>466</v>
      </c>
      <c r="C8" s="54" t="s">
        <v>467</v>
      </c>
      <c r="D8" s="54" t="s">
        <v>466</v>
      </c>
      <c r="E8" s="54" t="s">
        <v>466</v>
      </c>
      <c r="F8" s="53" t="b">
        <f t="shared" si="0"/>
        <v>0</v>
      </c>
    </row>
    <row r="9" spans="1:7">
      <c r="A9" s="53" t="s">
        <v>471</v>
      </c>
      <c r="B9" s="54" t="s">
        <v>467</v>
      </c>
      <c r="C9" s="54" t="s">
        <v>466</v>
      </c>
      <c r="D9" s="54" t="s">
        <v>466</v>
      </c>
      <c r="E9" s="54" t="s">
        <v>466</v>
      </c>
      <c r="F9" s="53" t="b">
        <f t="shared" si="0"/>
        <v>0</v>
      </c>
    </row>
    <row r="10" spans="1:7">
      <c r="A10" s="53" t="s">
        <v>472</v>
      </c>
      <c r="B10" s="54" t="s">
        <v>466</v>
      </c>
      <c r="C10" s="54" t="s">
        <v>466</v>
      </c>
      <c r="D10" s="54" t="s">
        <v>466</v>
      </c>
      <c r="E10" s="54" t="s">
        <v>467</v>
      </c>
      <c r="F10" s="53" t="b">
        <f t="shared" si="0"/>
        <v>0</v>
      </c>
    </row>
    <row r="11" spans="1:7">
      <c r="A11" s="53" t="s">
        <v>473</v>
      </c>
      <c r="B11" s="54" t="s">
        <v>466</v>
      </c>
      <c r="C11" s="54" t="s">
        <v>466</v>
      </c>
      <c r="D11" s="54" t="s">
        <v>467</v>
      </c>
      <c r="E11" s="54" t="s">
        <v>466</v>
      </c>
      <c r="F11" s="53" t="b">
        <f t="shared" ref="F11:F12" si="1">AND(B11="Pass",C11="Pass",D11="Pass",E11="Pass")</f>
        <v>0</v>
      </c>
      <c r="G11" s="74"/>
    </row>
    <row r="12" spans="1:7">
      <c r="A12" s="53" t="s">
        <v>474</v>
      </c>
      <c r="B12" s="54" t="s">
        <v>466</v>
      </c>
      <c r="C12" s="54" t="s">
        <v>466</v>
      </c>
      <c r="D12" s="54" t="s">
        <v>466</v>
      </c>
      <c r="E12" s="54" t="s">
        <v>466</v>
      </c>
      <c r="F12" s="53" t="b">
        <f t="shared" si="1"/>
        <v>1</v>
      </c>
    </row>
    <row r="13" spans="1:7" ht="18">
      <c r="A13" s="41"/>
    </row>
    <row r="17" spans="4:4">
      <c r="D17" s="34" t="s">
        <v>475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529F9-27E7-41C3-9E96-EADF253CE270}">
  <dimension ref="A1:I38"/>
  <sheetViews>
    <sheetView topLeftCell="A26" workbookViewId="0">
      <selection activeCell="H15" sqref="H15"/>
    </sheetView>
  </sheetViews>
  <sheetFormatPr defaultRowHeight="15"/>
  <cols>
    <col min="1" max="1" width="13.42578125" customWidth="1"/>
    <col min="2" max="2" width="15.42578125" customWidth="1"/>
    <col min="3" max="3" width="11.5703125" bestFit="1" customWidth="1"/>
    <col min="4" max="4" width="15" customWidth="1"/>
    <col min="5" max="5" width="13.7109375" customWidth="1"/>
    <col min="7" max="8" width="11.5703125" bestFit="1" customWidth="1"/>
  </cols>
  <sheetData>
    <row r="1" spans="1:8" ht="19.5" thickBot="1">
      <c r="A1" s="258" t="s">
        <v>476</v>
      </c>
      <c r="B1" s="259"/>
      <c r="C1" s="259"/>
      <c r="D1" s="259"/>
      <c r="E1" s="259"/>
      <c r="F1" s="259"/>
      <c r="G1" s="259"/>
      <c r="H1" s="260"/>
    </row>
    <row r="2" spans="1:8" ht="15.75" thickBot="1">
      <c r="A2" s="261" t="s">
        <v>477</v>
      </c>
      <c r="B2" s="262"/>
      <c r="C2" s="262"/>
      <c r="D2" s="262"/>
      <c r="E2" s="262"/>
      <c r="F2" s="262"/>
      <c r="G2" s="262"/>
      <c r="H2" s="263"/>
    </row>
    <row r="3" spans="1:8" ht="15.75" thickBot="1">
      <c r="A3" s="75"/>
      <c r="B3" s="75"/>
      <c r="C3" s="76"/>
      <c r="D3" s="75"/>
      <c r="E3" s="75"/>
      <c r="F3" s="75"/>
      <c r="G3" s="76"/>
      <c r="H3" s="76"/>
    </row>
    <row r="4" spans="1:8" ht="30.75" thickBot="1">
      <c r="A4" s="77" t="s">
        <v>264</v>
      </c>
      <c r="B4" s="78" t="s">
        <v>478</v>
      </c>
      <c r="C4" s="79"/>
      <c r="D4" s="78" t="s">
        <v>479</v>
      </c>
      <c r="E4" s="78" t="s">
        <v>480</v>
      </c>
      <c r="F4" s="78" t="s">
        <v>314</v>
      </c>
      <c r="G4" s="76"/>
      <c r="H4" s="76"/>
    </row>
    <row r="5" spans="1:8" ht="15.75" thickBot="1">
      <c r="A5" s="80" t="s">
        <v>481</v>
      </c>
      <c r="B5" s="81">
        <v>250</v>
      </c>
      <c r="C5" s="79"/>
      <c r="D5" s="81" t="s">
        <v>329</v>
      </c>
      <c r="E5" s="81" t="s">
        <v>482</v>
      </c>
      <c r="F5" s="81">
        <v>90</v>
      </c>
      <c r="G5" s="76"/>
      <c r="H5" s="76"/>
    </row>
    <row r="6" spans="1:8" ht="15.75" thickBot="1">
      <c r="A6" s="80" t="s">
        <v>483</v>
      </c>
      <c r="B6" s="81">
        <v>110</v>
      </c>
      <c r="C6" s="79"/>
      <c r="D6" s="81" t="s">
        <v>484</v>
      </c>
      <c r="E6" s="81" t="s">
        <v>485</v>
      </c>
      <c r="F6" s="81">
        <v>77</v>
      </c>
      <c r="G6" s="76"/>
      <c r="H6" s="76"/>
    </row>
    <row r="7" spans="1:8" ht="15.75" thickBot="1">
      <c r="A7" s="80" t="s">
        <v>486</v>
      </c>
      <c r="B7" s="81">
        <v>300</v>
      </c>
      <c r="C7" s="79"/>
      <c r="D7" s="81" t="s">
        <v>487</v>
      </c>
      <c r="E7" s="81" t="s">
        <v>482</v>
      </c>
      <c r="F7" s="81">
        <v>80</v>
      </c>
      <c r="G7" s="76"/>
      <c r="H7" s="76"/>
    </row>
    <row r="8" spans="1:8" ht="15.75" thickBot="1">
      <c r="A8" s="80" t="s">
        <v>488</v>
      </c>
      <c r="B8" s="81">
        <v>50</v>
      </c>
      <c r="C8" s="79"/>
      <c r="D8" s="81" t="s">
        <v>489</v>
      </c>
      <c r="E8" s="81" t="s">
        <v>482</v>
      </c>
      <c r="F8" s="81">
        <v>65</v>
      </c>
      <c r="G8" s="76"/>
      <c r="H8" s="76"/>
    </row>
    <row r="9" spans="1:8" ht="15.75" thickBot="1">
      <c r="A9" s="80" t="s">
        <v>490</v>
      </c>
      <c r="B9" s="81">
        <v>45</v>
      </c>
      <c r="C9" s="79"/>
      <c r="D9" s="81" t="s">
        <v>491</v>
      </c>
      <c r="E9" s="81" t="s">
        <v>485</v>
      </c>
      <c r="F9" s="81">
        <v>45</v>
      </c>
      <c r="G9" s="76"/>
      <c r="H9" s="76"/>
    </row>
    <row r="10" spans="1:8" ht="15.75" thickBot="1">
      <c r="A10" s="80" t="s">
        <v>483</v>
      </c>
      <c r="B10" s="81">
        <v>23</v>
      </c>
      <c r="C10" s="79"/>
      <c r="D10" s="81" t="s">
        <v>492</v>
      </c>
      <c r="E10" s="81" t="s">
        <v>485</v>
      </c>
      <c r="F10" s="81">
        <v>55</v>
      </c>
      <c r="G10" s="76"/>
      <c r="H10" s="76"/>
    </row>
    <row r="11" spans="1:8" ht="15.75" thickBot="1">
      <c r="A11" s="80" t="s">
        <v>493</v>
      </c>
      <c r="B11" s="81">
        <v>25</v>
      </c>
      <c r="C11" s="76"/>
      <c r="D11" s="76"/>
      <c r="E11" s="76"/>
      <c r="F11" s="76"/>
      <c r="G11" s="76"/>
      <c r="H11" s="76"/>
    </row>
    <row r="12" spans="1:8" ht="15.75" thickBot="1">
      <c r="A12" s="80" t="s">
        <v>481</v>
      </c>
      <c r="B12" s="81">
        <v>90</v>
      </c>
      <c r="C12" s="76"/>
      <c r="D12" s="264" t="s">
        <v>494</v>
      </c>
      <c r="E12" s="265"/>
      <c r="F12" s="266"/>
      <c r="G12" s="76"/>
      <c r="H12" s="76"/>
    </row>
    <row r="13" spans="1:8" ht="15.75" thickBot="1">
      <c r="A13" s="80" t="s">
        <v>483</v>
      </c>
      <c r="B13" s="81">
        <v>450</v>
      </c>
      <c r="C13" s="79"/>
      <c r="D13" s="82" t="s">
        <v>495</v>
      </c>
      <c r="E13" s="267">
        <v>78.333333330000002</v>
      </c>
      <c r="F13" s="268"/>
      <c r="G13" s="76">
        <f>AVERAGEIF(E5:E10,"second",F5:F10)</f>
        <v>78.333333333333329</v>
      </c>
      <c r="H13" s="76">
        <f>AVERAGEIF(E5:E10,"second",F5:F10)</f>
        <v>78.333333333333329</v>
      </c>
    </row>
    <row r="14" spans="1:8" ht="15.75" thickBot="1">
      <c r="A14" s="80" t="s">
        <v>490</v>
      </c>
      <c r="B14" s="81">
        <v>23</v>
      </c>
      <c r="C14" s="79"/>
      <c r="D14" s="82" t="s">
        <v>485</v>
      </c>
      <c r="E14" s="267">
        <v>59</v>
      </c>
      <c r="F14" s="268"/>
      <c r="G14" s="76">
        <f>AVERAGEIF(E5:E10,"Third",F5:F10)</f>
        <v>59</v>
      </c>
      <c r="H14" s="76">
        <f>AVERAGEIF(E5:E10,"Third",F5:F10)</f>
        <v>59</v>
      </c>
    </row>
    <row r="15" spans="1:8" ht="15.75" thickBot="1">
      <c r="A15" s="80" t="s">
        <v>481</v>
      </c>
      <c r="B15" s="81">
        <v>250</v>
      </c>
      <c r="C15" s="76"/>
      <c r="D15" s="76"/>
      <c r="E15" s="76"/>
      <c r="F15" s="76"/>
      <c r="G15" s="76"/>
      <c r="H15" s="76"/>
    </row>
    <row r="16" spans="1:8" ht="15.75" thickBot="1">
      <c r="A16" s="80" t="s">
        <v>488</v>
      </c>
      <c r="B16" s="81">
        <v>25</v>
      </c>
      <c r="C16" s="76"/>
      <c r="D16" s="76"/>
      <c r="E16" s="76"/>
      <c r="F16" s="76"/>
      <c r="G16" s="76"/>
      <c r="H16" s="76"/>
    </row>
    <row r="17" spans="1:8" ht="15.75" thickBot="1">
      <c r="A17" s="75"/>
      <c r="B17" s="75"/>
      <c r="C17" s="76"/>
      <c r="D17" s="76"/>
      <c r="E17" s="76"/>
      <c r="F17" s="76"/>
      <c r="G17" s="76"/>
      <c r="H17" s="76"/>
    </row>
    <row r="18" spans="1:8" ht="15.75" thickBot="1">
      <c r="A18" s="83" t="s">
        <v>496</v>
      </c>
      <c r="B18" s="85">
        <v>37.5</v>
      </c>
      <c r="C18" s="76">
        <f>AVERAGEIF(A5:A16,"B",B5:B16)</f>
        <v>37.5</v>
      </c>
      <c r="D18" s="76"/>
      <c r="E18" s="76"/>
      <c r="F18" s="76"/>
      <c r="G18" s="76"/>
      <c r="H18" s="76"/>
    </row>
    <row r="19" spans="1:8" ht="15.75" thickBot="1">
      <c r="A19" s="83" t="s">
        <v>497</v>
      </c>
      <c r="B19" s="85">
        <v>194.33333329999999</v>
      </c>
      <c r="C19" s="76">
        <f>AVERAGEIF(A5:A16,"D",B5:B16)</f>
        <v>194.33333333333334</v>
      </c>
      <c r="D19" s="76"/>
      <c r="E19" s="76"/>
      <c r="F19" s="76"/>
      <c r="G19" s="76"/>
      <c r="H19" s="76"/>
    </row>
    <row r="20" spans="1:8" ht="15.75" thickBot="1">
      <c r="A20" s="76"/>
      <c r="B20" s="76"/>
      <c r="C20" s="76"/>
      <c r="D20" s="76"/>
      <c r="E20" s="76"/>
      <c r="F20" s="76"/>
      <c r="G20" s="76"/>
      <c r="H20" s="76"/>
    </row>
    <row r="21" spans="1:8" ht="15.75" thickBot="1">
      <c r="A21" s="75"/>
      <c r="B21" s="75"/>
      <c r="C21" s="75"/>
      <c r="D21" s="76"/>
      <c r="E21" s="75"/>
      <c r="F21" s="75"/>
      <c r="G21" s="76"/>
      <c r="H21" s="76"/>
    </row>
    <row r="22" spans="1:8" ht="30.75" thickBot="1">
      <c r="A22" s="77" t="s">
        <v>498</v>
      </c>
      <c r="B22" s="78" t="s">
        <v>499</v>
      </c>
      <c r="C22" s="78" t="s">
        <v>262</v>
      </c>
      <c r="D22" s="76"/>
      <c r="E22" s="86" t="s">
        <v>264</v>
      </c>
      <c r="F22" s="78" t="s">
        <v>478</v>
      </c>
      <c r="G22" s="76"/>
      <c r="H22" s="76"/>
    </row>
    <row r="23" spans="1:8" ht="15.75" thickBot="1">
      <c r="A23" s="80" t="s">
        <v>404</v>
      </c>
      <c r="B23" s="81" t="s">
        <v>500</v>
      </c>
      <c r="C23" s="81">
        <v>25000</v>
      </c>
      <c r="D23" s="79"/>
      <c r="E23" s="81" t="s">
        <v>481</v>
      </c>
      <c r="F23" s="81">
        <v>250</v>
      </c>
      <c r="G23" s="76"/>
      <c r="H23" s="76"/>
    </row>
    <row r="24" spans="1:8" ht="15.75" thickBot="1">
      <c r="A24" s="80" t="s">
        <v>405</v>
      </c>
      <c r="B24" s="81" t="s">
        <v>501</v>
      </c>
      <c r="C24" s="81">
        <v>12000</v>
      </c>
      <c r="D24" s="79"/>
      <c r="E24" s="81" t="s">
        <v>483</v>
      </c>
      <c r="F24" s="81">
        <v>110</v>
      </c>
      <c r="G24" s="76"/>
      <c r="H24" s="76"/>
    </row>
    <row r="25" spans="1:8" ht="15.75" thickBot="1">
      <c r="A25" s="80" t="s">
        <v>403</v>
      </c>
      <c r="B25" s="81" t="s">
        <v>502</v>
      </c>
      <c r="C25" s="81">
        <v>4200</v>
      </c>
      <c r="D25" s="79"/>
      <c r="E25" s="81" t="s">
        <v>486</v>
      </c>
      <c r="F25" s="81">
        <v>300</v>
      </c>
      <c r="G25" s="76"/>
      <c r="H25" s="76"/>
    </row>
    <row r="26" spans="1:8" ht="15.75" thickBot="1">
      <c r="A26" s="80" t="s">
        <v>403</v>
      </c>
      <c r="B26" s="81" t="s">
        <v>503</v>
      </c>
      <c r="C26" s="81">
        <v>5600</v>
      </c>
      <c r="D26" s="79"/>
      <c r="E26" s="81" t="s">
        <v>488</v>
      </c>
      <c r="F26" s="81">
        <v>50</v>
      </c>
      <c r="G26" s="76"/>
      <c r="H26" s="76"/>
    </row>
    <row r="27" spans="1:8" ht="15.75" thickBot="1">
      <c r="A27" s="80" t="s">
        <v>406</v>
      </c>
      <c r="B27" s="81" t="s">
        <v>504</v>
      </c>
      <c r="C27" s="81">
        <v>15000</v>
      </c>
      <c r="D27" s="79"/>
      <c r="E27" s="81" t="s">
        <v>490</v>
      </c>
      <c r="F27" s="81">
        <v>45</v>
      </c>
      <c r="G27" s="76"/>
      <c r="H27" s="76"/>
    </row>
    <row r="28" spans="1:8" ht="15.75" thickBot="1">
      <c r="A28" s="80" t="s">
        <v>405</v>
      </c>
      <c r="B28" s="81" t="s">
        <v>505</v>
      </c>
      <c r="C28" s="81">
        <v>7000</v>
      </c>
      <c r="D28" s="79"/>
      <c r="E28" s="81" t="s">
        <v>483</v>
      </c>
      <c r="F28" s="81">
        <v>23</v>
      </c>
      <c r="G28" s="76"/>
      <c r="H28" s="76"/>
    </row>
    <row r="29" spans="1:8" ht="15.75" thickBot="1">
      <c r="A29" s="80" t="s">
        <v>404</v>
      </c>
      <c r="B29" s="81" t="s">
        <v>506</v>
      </c>
      <c r="C29" s="81">
        <v>5200</v>
      </c>
      <c r="D29" s="79"/>
      <c r="E29" s="81" t="s">
        <v>493</v>
      </c>
      <c r="F29" s="81">
        <v>25</v>
      </c>
      <c r="G29" s="76"/>
      <c r="H29" s="76"/>
    </row>
    <row r="30" spans="1:8" ht="15.75" thickBot="1">
      <c r="A30" s="80" t="s">
        <v>403</v>
      </c>
      <c r="B30" s="81" t="s">
        <v>507</v>
      </c>
      <c r="C30" s="81">
        <v>6000</v>
      </c>
      <c r="D30" s="79"/>
      <c r="E30" s="81" t="s">
        <v>481</v>
      </c>
      <c r="F30" s="81">
        <v>90</v>
      </c>
      <c r="G30" s="76"/>
      <c r="H30" s="76"/>
    </row>
    <row r="31" spans="1:8" ht="15.75" thickBot="1">
      <c r="A31" s="80" t="s">
        <v>406</v>
      </c>
      <c r="B31" s="81" t="s">
        <v>508</v>
      </c>
      <c r="C31" s="81">
        <v>8500</v>
      </c>
      <c r="D31" s="79"/>
      <c r="E31" s="81" t="s">
        <v>483</v>
      </c>
      <c r="F31" s="81">
        <v>450</v>
      </c>
      <c r="G31" s="76"/>
      <c r="H31" s="76"/>
    </row>
    <row r="32" spans="1:8" ht="15.75" thickBot="1">
      <c r="A32" s="80" t="s">
        <v>509</v>
      </c>
      <c r="B32" s="81" t="s">
        <v>510</v>
      </c>
      <c r="C32" s="81">
        <v>12000</v>
      </c>
      <c r="D32" s="79"/>
      <c r="E32" s="81" t="s">
        <v>490</v>
      </c>
      <c r="F32" s="81">
        <v>23</v>
      </c>
      <c r="G32" s="76"/>
      <c r="H32" s="76"/>
    </row>
    <row r="33" spans="1:9" ht="15.75" thickBot="1">
      <c r="A33" s="80" t="s">
        <v>403</v>
      </c>
      <c r="B33" s="81" t="s">
        <v>511</v>
      </c>
      <c r="C33" s="81">
        <v>4300</v>
      </c>
      <c r="D33" s="79"/>
      <c r="E33" s="81" t="s">
        <v>481</v>
      </c>
      <c r="F33" s="81">
        <v>250</v>
      </c>
      <c r="G33" s="76"/>
      <c r="H33" s="76"/>
    </row>
    <row r="34" spans="1:9" ht="15.75" thickBot="1">
      <c r="A34" s="80" t="s">
        <v>406</v>
      </c>
      <c r="B34" s="81" t="s">
        <v>512</v>
      </c>
      <c r="C34" s="81">
        <v>1200</v>
      </c>
      <c r="D34" s="79"/>
      <c r="E34" s="81" t="s">
        <v>488</v>
      </c>
      <c r="F34" s="81">
        <v>25</v>
      </c>
      <c r="G34" s="76"/>
      <c r="H34" s="76"/>
    </row>
    <row r="35" spans="1:9" ht="15.75" thickBot="1">
      <c r="A35" s="75"/>
      <c r="B35" s="75"/>
      <c r="C35" s="75"/>
      <c r="D35" s="76"/>
      <c r="E35" s="75"/>
      <c r="F35" s="75"/>
      <c r="G35" s="75"/>
      <c r="H35" s="75"/>
    </row>
    <row r="36" spans="1:9" ht="30" customHeight="1" thickBot="1">
      <c r="A36" s="254" t="s">
        <v>513</v>
      </c>
      <c r="B36" s="269"/>
      <c r="C36" s="255"/>
      <c r="D36" s="79"/>
      <c r="E36" s="270" t="s">
        <v>514</v>
      </c>
      <c r="F36" s="271"/>
      <c r="G36" s="256">
        <v>375</v>
      </c>
      <c r="H36" s="257"/>
      <c r="I36">
        <f>AVERAGEIF(F23:F34,"&gt;250",F23:F34)</f>
        <v>375</v>
      </c>
    </row>
    <row r="37" spans="1:9" ht="30" customHeight="1" thickBot="1">
      <c r="A37" s="251">
        <v>8233.33</v>
      </c>
      <c r="B37" s="252"/>
      <c r="C37" s="253"/>
      <c r="D37" s="79"/>
      <c r="E37" s="254" t="s">
        <v>515</v>
      </c>
      <c r="F37" s="255"/>
      <c r="G37" s="256">
        <f>AVERAGEIF(F23:F34,"&lt;100",F23:F34)</f>
        <v>40.142857142857146</v>
      </c>
      <c r="H37" s="257"/>
      <c r="I37">
        <f>AVERAGEIF(F23:F34,"&lt;100",F23:F34)</f>
        <v>40.142857142857146</v>
      </c>
    </row>
    <row r="38" spans="1:9" ht="15.75" thickBot="1">
      <c r="A38" s="76">
        <f>AVERAGEIF(A23:A34,"West",C23:C34)</f>
        <v>8233.3333333333339</v>
      </c>
      <c r="B38" s="76"/>
      <c r="C38" s="76"/>
      <c r="D38" s="76"/>
      <c r="E38" s="76"/>
      <c r="F38" s="76"/>
      <c r="G38" s="76"/>
      <c r="H38" s="76"/>
    </row>
  </sheetData>
  <mergeCells count="11">
    <mergeCell ref="A37:C37"/>
    <mergeCell ref="E37:F37"/>
    <mergeCell ref="G37:H37"/>
    <mergeCell ref="A1:H1"/>
    <mergeCell ref="A2:H2"/>
    <mergeCell ref="D12:F12"/>
    <mergeCell ref="E13:F13"/>
    <mergeCell ref="E14:F14"/>
    <mergeCell ref="A36:C36"/>
    <mergeCell ref="E36:F36"/>
    <mergeCell ref="G36:H3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E54F0-B9FB-4EC9-94C2-643CF190A97E}">
  <dimension ref="A1:H24"/>
  <sheetViews>
    <sheetView topLeftCell="A12" workbookViewId="0">
      <selection activeCell="K26" sqref="K26"/>
    </sheetView>
  </sheetViews>
  <sheetFormatPr defaultRowHeight="15"/>
  <cols>
    <col min="2" max="2" width="13" customWidth="1"/>
    <col min="3" max="3" width="14.7109375" customWidth="1"/>
    <col min="4" max="4" width="18.28515625" customWidth="1"/>
  </cols>
  <sheetData>
    <row r="1" spans="1:8" ht="19.5" thickBot="1">
      <c r="A1" s="258" t="s">
        <v>516</v>
      </c>
      <c r="B1" s="259"/>
      <c r="C1" s="259"/>
      <c r="D1" s="259"/>
      <c r="E1" s="259"/>
      <c r="F1" s="259"/>
      <c r="G1" s="259"/>
      <c r="H1" s="260"/>
    </row>
    <row r="2" spans="1:8" ht="15.75" thickBot="1">
      <c r="A2" s="261" t="s">
        <v>517</v>
      </c>
      <c r="B2" s="262"/>
      <c r="C2" s="262"/>
      <c r="D2" s="262"/>
      <c r="E2" s="262"/>
      <c r="F2" s="262"/>
      <c r="G2" s="262"/>
      <c r="H2" s="263"/>
    </row>
    <row r="3" spans="1:8" ht="15.75" thickBot="1">
      <c r="A3" s="75"/>
      <c r="B3" s="75"/>
      <c r="C3" s="75"/>
      <c r="D3" s="76"/>
      <c r="E3" s="75"/>
      <c r="F3" s="75"/>
      <c r="G3" s="75"/>
      <c r="H3" s="76"/>
    </row>
    <row r="4" spans="1:8" ht="15.75" thickBot="1">
      <c r="A4" s="77" t="s">
        <v>518</v>
      </c>
      <c r="B4" s="78" t="s">
        <v>519</v>
      </c>
      <c r="C4" s="82" t="s">
        <v>520</v>
      </c>
      <c r="D4" s="79"/>
      <c r="E4" s="78" t="s">
        <v>518</v>
      </c>
      <c r="F4" s="78" t="s">
        <v>519</v>
      </c>
      <c r="G4" s="82" t="s">
        <v>520</v>
      </c>
      <c r="H4" s="76"/>
    </row>
    <row r="5" spans="1:8" ht="15.75" thickBot="1">
      <c r="A5" s="87" t="s">
        <v>521</v>
      </c>
      <c r="B5" s="84" t="s">
        <v>522</v>
      </c>
      <c r="C5" s="85" t="str">
        <f>IF(A5=B5,"Matching","Not Matching")</f>
        <v>Not Matching</v>
      </c>
      <c r="D5" s="79"/>
      <c r="E5" s="84">
        <v>343749</v>
      </c>
      <c r="F5" s="84">
        <v>160466</v>
      </c>
      <c r="G5" s="85">
        <v>160466</v>
      </c>
      <c r="H5" s="76"/>
    </row>
    <row r="6" spans="1:8" ht="45.75" thickBot="1">
      <c r="A6" s="87" t="s">
        <v>523</v>
      </c>
      <c r="B6" s="84" t="s">
        <v>523</v>
      </c>
      <c r="C6" s="85" t="str">
        <f>IF(A6=B6,"Matching","Not Matching")</f>
        <v>Matching</v>
      </c>
      <c r="D6" s="79"/>
      <c r="E6" s="84">
        <v>183257</v>
      </c>
      <c r="F6" s="84">
        <v>183258</v>
      </c>
      <c r="G6" s="85" t="s">
        <v>524</v>
      </c>
      <c r="H6" s="76"/>
    </row>
    <row r="7" spans="1:8" ht="15.75" thickBot="1">
      <c r="A7" s="87" t="s">
        <v>525</v>
      </c>
      <c r="B7" s="84" t="s">
        <v>526</v>
      </c>
      <c r="C7" s="85" t="str">
        <f>IF(A7=B7,"Matching", "Not Matching")</f>
        <v>Not Matching</v>
      </c>
      <c r="D7" s="79"/>
      <c r="E7" s="84">
        <v>160466</v>
      </c>
      <c r="F7" s="84">
        <v>249447</v>
      </c>
      <c r="G7" s="85">
        <v>249447</v>
      </c>
      <c r="H7" s="76"/>
    </row>
    <row r="8" spans="1:8" ht="15.75" thickBot="1">
      <c r="A8" s="87" t="s">
        <v>527</v>
      </c>
      <c r="B8" s="84" t="s">
        <v>527</v>
      </c>
      <c r="C8" s="85" t="str">
        <f>IF(A8=B8,"Matching","Not Matching")</f>
        <v>Matching</v>
      </c>
      <c r="D8" s="79"/>
      <c r="E8" s="84">
        <v>249447</v>
      </c>
      <c r="F8" s="84">
        <v>343749</v>
      </c>
      <c r="G8" s="85">
        <v>343749</v>
      </c>
      <c r="H8" s="76"/>
    </row>
    <row r="9" spans="1:8" ht="45.75" thickBot="1">
      <c r="A9" s="87" t="s">
        <v>528</v>
      </c>
      <c r="B9" s="84" t="s">
        <v>529</v>
      </c>
      <c r="C9" s="85" t="str">
        <f>IF(A9=B9,"Matching","NotMatching")</f>
        <v>NotMatching</v>
      </c>
      <c r="D9" s="79"/>
      <c r="E9" s="84">
        <v>532765</v>
      </c>
      <c r="F9" s="84">
        <v>356160</v>
      </c>
      <c r="G9" s="85" t="s">
        <v>524</v>
      </c>
      <c r="H9" s="76"/>
    </row>
    <row r="10" spans="1:8" ht="15.75" thickBot="1">
      <c r="A10" s="76"/>
      <c r="B10" s="76"/>
      <c r="C10" s="76"/>
      <c r="D10" s="79"/>
      <c r="E10" s="84">
        <v>356163</v>
      </c>
      <c r="F10" s="84">
        <v>379391</v>
      </c>
      <c r="G10" s="85">
        <v>379391</v>
      </c>
      <c r="H10" s="76"/>
    </row>
    <row r="11" spans="1:8" ht="15.75" thickBot="1">
      <c r="A11" s="88" t="s">
        <v>530</v>
      </c>
      <c r="B11" s="76"/>
      <c r="C11" s="76"/>
      <c r="D11" s="79"/>
      <c r="E11" s="84">
        <v>455292</v>
      </c>
      <c r="F11" s="84">
        <v>455292</v>
      </c>
      <c r="G11" s="85">
        <v>455292</v>
      </c>
      <c r="H11" s="76"/>
    </row>
    <row r="12" spans="1:8" ht="15.75" thickBot="1">
      <c r="A12" s="76"/>
      <c r="B12" s="76"/>
      <c r="C12" s="76"/>
      <c r="D12" s="79"/>
      <c r="E12" s="84">
        <v>379391</v>
      </c>
      <c r="F12" s="84">
        <v>532765</v>
      </c>
      <c r="G12" s="85">
        <v>532765</v>
      </c>
      <c r="H12" s="76"/>
    </row>
    <row r="13" spans="1:8" ht="15.75" thickBot="1">
      <c r="A13" s="76"/>
      <c r="B13" s="76"/>
      <c r="C13" s="76"/>
      <c r="D13" s="76"/>
      <c r="E13" s="76"/>
      <c r="F13" s="76"/>
      <c r="G13" s="76"/>
      <c r="H13" s="76"/>
    </row>
    <row r="14" spans="1:8" ht="15.75" thickBot="1">
      <c r="A14" s="76"/>
      <c r="B14" s="76"/>
      <c r="C14" s="76"/>
      <c r="D14" s="76"/>
      <c r="E14" s="88" t="s">
        <v>531</v>
      </c>
      <c r="F14" s="76"/>
      <c r="G14" s="76"/>
      <c r="H14" s="76"/>
    </row>
    <row r="15" spans="1:8" ht="15.75" thickBot="1">
      <c r="A15" s="75"/>
      <c r="B15" s="76"/>
      <c r="C15" s="75"/>
      <c r="D15" s="76"/>
      <c r="E15" s="75"/>
      <c r="F15" s="76"/>
      <c r="G15" s="76"/>
      <c r="H15" s="76"/>
    </row>
    <row r="16" spans="1:8" ht="15.75" thickBot="1">
      <c r="A16" s="89" t="s">
        <v>532</v>
      </c>
      <c r="B16" s="79"/>
      <c r="C16" s="90" t="s">
        <v>520</v>
      </c>
      <c r="D16" s="76"/>
      <c r="E16" s="91" t="s">
        <v>533</v>
      </c>
      <c r="F16" s="76"/>
      <c r="G16" s="76"/>
      <c r="H16" s="76"/>
    </row>
    <row r="17" spans="1:8" ht="15.75" thickBot="1">
      <c r="A17" s="87" t="s">
        <v>534</v>
      </c>
      <c r="B17" s="79"/>
      <c r="C17" s="84" t="s">
        <v>534</v>
      </c>
      <c r="D17" s="79"/>
      <c r="E17" s="84" t="s">
        <v>534</v>
      </c>
      <c r="F17" s="76"/>
      <c r="G17" s="76"/>
      <c r="H17" s="76"/>
    </row>
    <row r="18" spans="1:8" ht="15.75" thickBot="1">
      <c r="A18" s="87" t="s">
        <v>535</v>
      </c>
      <c r="B18" s="79"/>
      <c r="C18" s="84" t="s">
        <v>535</v>
      </c>
      <c r="D18" s="79"/>
      <c r="E18" s="84" t="s">
        <v>535</v>
      </c>
      <c r="F18" s="76"/>
      <c r="G18" s="76"/>
      <c r="H18" s="76"/>
    </row>
    <row r="19" spans="1:8" ht="15.75" thickBot="1">
      <c r="A19" s="87" t="s">
        <v>536</v>
      </c>
      <c r="B19" s="79"/>
      <c r="C19" s="84" t="s">
        <v>536</v>
      </c>
      <c r="D19" s="79"/>
      <c r="E19" s="84" t="s">
        <v>537</v>
      </c>
      <c r="F19" s="76"/>
      <c r="G19" s="76"/>
      <c r="H19" s="76"/>
    </row>
    <row r="20" spans="1:8" ht="15.75" thickBot="1">
      <c r="A20" s="87" t="s">
        <v>538</v>
      </c>
      <c r="B20" s="79"/>
      <c r="C20" s="84" t="e">
        <v>#N/A</v>
      </c>
      <c r="D20" s="79"/>
      <c r="E20" s="84" t="s">
        <v>536</v>
      </c>
      <c r="F20" s="76"/>
      <c r="G20" s="76"/>
      <c r="H20" s="76"/>
    </row>
    <row r="21" spans="1:8" ht="15.75" thickBot="1">
      <c r="A21" s="87" t="s">
        <v>539</v>
      </c>
      <c r="B21" s="79"/>
      <c r="C21" s="84" t="s">
        <v>539</v>
      </c>
      <c r="D21" s="79"/>
      <c r="E21" s="84" t="s">
        <v>539</v>
      </c>
      <c r="F21" s="76"/>
      <c r="G21" s="76"/>
      <c r="H21" s="76"/>
    </row>
    <row r="22" spans="1:8" ht="15.75" thickBot="1">
      <c r="A22" s="87" t="s">
        <v>540</v>
      </c>
      <c r="B22" s="79"/>
      <c r="C22" s="84" t="e">
        <v>#N/A</v>
      </c>
      <c r="D22" s="79"/>
      <c r="E22" s="84" t="s">
        <v>541</v>
      </c>
      <c r="F22" s="76"/>
      <c r="G22" s="76"/>
      <c r="H22" s="76"/>
    </row>
    <row r="23" spans="1:8" ht="15.75" thickBot="1">
      <c r="A23" s="76"/>
      <c r="B23" s="76"/>
      <c r="C23" s="76"/>
      <c r="D23" s="76"/>
      <c r="E23" s="76"/>
      <c r="F23" s="76"/>
      <c r="G23" s="76"/>
      <c r="H23" s="76"/>
    </row>
    <row r="24" spans="1:8" ht="15.75" thickBot="1">
      <c r="A24" s="88" t="s">
        <v>542</v>
      </c>
      <c r="B24" s="76"/>
      <c r="C24" s="76"/>
      <c r="D24" s="76"/>
      <c r="E24" s="76"/>
      <c r="F24" s="76"/>
      <c r="G24" s="76"/>
      <c r="H24" s="76"/>
    </row>
  </sheetData>
  <mergeCells count="2">
    <mergeCell ref="A1:H1"/>
    <mergeCell ref="A2:H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6DC14-3D04-41D4-A2E7-7F148731E6F7}">
  <dimension ref="A1:E23"/>
  <sheetViews>
    <sheetView topLeftCell="A11" workbookViewId="0">
      <selection activeCell="E22" sqref="E22"/>
    </sheetView>
  </sheetViews>
  <sheetFormatPr defaultRowHeight="15"/>
  <cols>
    <col min="1" max="1" width="12.42578125" customWidth="1"/>
    <col min="2" max="2" width="16.5703125" customWidth="1"/>
    <col min="4" max="4" width="27.7109375" customWidth="1"/>
    <col min="5" max="5" width="18.28515625" customWidth="1"/>
  </cols>
  <sheetData>
    <row r="1" spans="1:5" ht="19.5" thickBot="1">
      <c r="A1" s="258" t="s">
        <v>543</v>
      </c>
      <c r="B1" s="259"/>
      <c r="C1" s="259"/>
      <c r="D1" s="260"/>
    </row>
    <row r="2" spans="1:5" ht="15.75" thickBot="1">
      <c r="A2" s="261" t="s">
        <v>544</v>
      </c>
      <c r="B2" s="262"/>
      <c r="C2" s="262"/>
      <c r="D2" s="263"/>
    </row>
    <row r="3" spans="1:5" ht="15.75" thickBot="1">
      <c r="A3" s="75"/>
      <c r="B3" s="75"/>
      <c r="C3" s="75"/>
      <c r="D3" s="92" t="s">
        <v>96</v>
      </c>
    </row>
    <row r="4" spans="1:5" ht="30.75" thickBot="1">
      <c r="A4" s="93" t="s">
        <v>413</v>
      </c>
      <c r="B4" s="94" t="s">
        <v>545</v>
      </c>
      <c r="C4" s="94" t="s">
        <v>546</v>
      </c>
      <c r="D4" s="78" t="s">
        <v>547</v>
      </c>
    </row>
    <row r="5" spans="1:5" ht="15.75" thickBot="1">
      <c r="A5" s="87" t="s">
        <v>548</v>
      </c>
      <c r="B5" s="84" t="s">
        <v>549</v>
      </c>
      <c r="C5" s="84" t="s">
        <v>550</v>
      </c>
      <c r="D5" s="84" t="str">
        <f t="shared" ref="D5:D10" si="0">CONCATENATE(B5," ",C5)</f>
        <v>Vishal Mohan</v>
      </c>
    </row>
    <row r="6" spans="1:5" ht="15.75" thickBot="1">
      <c r="A6" s="87" t="s">
        <v>551</v>
      </c>
      <c r="B6" s="84" t="s">
        <v>329</v>
      </c>
      <c r="C6" s="84" t="s">
        <v>552</v>
      </c>
      <c r="D6" s="84" t="str">
        <f t="shared" si="0"/>
        <v>John Mathew</v>
      </c>
    </row>
    <row r="7" spans="1:5" ht="15.75" thickBot="1">
      <c r="A7" s="87" t="s">
        <v>553</v>
      </c>
      <c r="B7" s="84" t="s">
        <v>554</v>
      </c>
      <c r="C7" s="84" t="s">
        <v>555</v>
      </c>
      <c r="D7" s="84" t="str">
        <f t="shared" si="0"/>
        <v>Jamemah Powel</v>
      </c>
    </row>
    <row r="8" spans="1:5" ht="30.75" thickBot="1">
      <c r="A8" s="87" t="s">
        <v>556</v>
      </c>
      <c r="B8" s="84" t="s">
        <v>557</v>
      </c>
      <c r="C8" s="84" t="s">
        <v>558</v>
      </c>
      <c r="D8" s="84" t="str">
        <f t="shared" si="0"/>
        <v>Arundhati Swaminathan</v>
      </c>
    </row>
    <row r="9" spans="1:5" ht="15.75" thickBot="1">
      <c r="A9" s="87" t="s">
        <v>559</v>
      </c>
      <c r="B9" s="84" t="s">
        <v>452</v>
      </c>
      <c r="C9" s="84" t="s">
        <v>560</v>
      </c>
      <c r="D9" s="84" t="str">
        <f t="shared" si="0"/>
        <v>Peter Potter</v>
      </c>
    </row>
    <row r="10" spans="1:5" ht="15.75" thickBot="1">
      <c r="A10" s="87" t="s">
        <v>561</v>
      </c>
      <c r="B10" s="84" t="s">
        <v>562</v>
      </c>
      <c r="C10" s="84" t="s">
        <v>563</v>
      </c>
      <c r="D10" s="84" t="str">
        <f t="shared" si="0"/>
        <v>Roger Williams</v>
      </c>
    </row>
    <row r="11" spans="1:5" ht="15.75" thickBot="1">
      <c r="A11" s="76"/>
      <c r="B11" s="76"/>
      <c r="C11" s="76"/>
      <c r="D11" s="76"/>
    </row>
    <row r="12" spans="1:5" ht="15.75" thickBot="1">
      <c r="A12" s="95" t="s">
        <v>564</v>
      </c>
      <c r="B12" s="88" t="s">
        <v>565</v>
      </c>
      <c r="C12" s="76"/>
      <c r="D12" s="76"/>
    </row>
    <row r="13" spans="1:5" ht="15.75" thickBot="1">
      <c r="A13" s="76"/>
      <c r="B13" s="76"/>
      <c r="C13" s="76"/>
      <c r="D13" s="76"/>
    </row>
    <row r="14" spans="1:5" ht="15.75" thickBot="1">
      <c r="A14" s="75"/>
      <c r="B14" s="75"/>
      <c r="C14" s="75"/>
      <c r="D14" s="92" t="s">
        <v>96</v>
      </c>
    </row>
    <row r="15" spans="1:5" ht="30.75" thickBot="1">
      <c r="A15" s="93" t="s">
        <v>413</v>
      </c>
      <c r="B15" s="94" t="s">
        <v>545</v>
      </c>
      <c r="C15" s="94" t="s">
        <v>546</v>
      </c>
      <c r="D15" s="78" t="s">
        <v>547</v>
      </c>
    </row>
    <row r="16" spans="1:5" ht="15.75" thickBot="1">
      <c r="A16" s="87" t="s">
        <v>548</v>
      </c>
      <c r="B16" s="84" t="s">
        <v>549</v>
      </c>
      <c r="C16" s="84" t="s">
        <v>550</v>
      </c>
      <c r="D16" s="84" t="str">
        <f>B16&amp;" "&amp;C16</f>
        <v>Vishal Mohan</v>
      </c>
      <c r="E16" t="str">
        <f t="shared" ref="E16:E21" si="1">CONCATENATE(B16&amp;" "&amp;C16)</f>
        <v>Vishal Mohan</v>
      </c>
    </row>
    <row r="17" spans="1:5" ht="15.75" thickBot="1">
      <c r="A17" s="87" t="s">
        <v>551</v>
      </c>
      <c r="B17" s="84" t="s">
        <v>329</v>
      </c>
      <c r="C17" s="84" t="s">
        <v>552</v>
      </c>
      <c r="D17" s="84" t="str">
        <f t="shared" ref="D17:D21" si="2">B17&amp;" "&amp;C17</f>
        <v>John Mathew</v>
      </c>
      <c r="E17" t="str">
        <f t="shared" si="1"/>
        <v>John Mathew</v>
      </c>
    </row>
    <row r="18" spans="1:5" ht="15.75" thickBot="1">
      <c r="A18" s="87" t="s">
        <v>553</v>
      </c>
      <c r="B18" s="84" t="s">
        <v>554</v>
      </c>
      <c r="C18" s="84" t="s">
        <v>555</v>
      </c>
      <c r="D18" s="84" t="str">
        <f t="shared" si="2"/>
        <v>Jamemah Powel</v>
      </c>
      <c r="E18" t="str">
        <f t="shared" si="1"/>
        <v>Jamemah Powel</v>
      </c>
    </row>
    <row r="19" spans="1:5" ht="30.75" thickBot="1">
      <c r="A19" s="87" t="s">
        <v>556</v>
      </c>
      <c r="B19" s="84" t="s">
        <v>557</v>
      </c>
      <c r="C19" s="84" t="s">
        <v>558</v>
      </c>
      <c r="D19" s="84" t="str">
        <f t="shared" si="2"/>
        <v>Arundhati Swaminathan</v>
      </c>
      <c r="E19" t="str">
        <f t="shared" si="1"/>
        <v>Arundhati Swaminathan</v>
      </c>
    </row>
    <row r="20" spans="1:5" ht="15.75" thickBot="1">
      <c r="A20" s="87" t="s">
        <v>559</v>
      </c>
      <c r="B20" s="84" t="s">
        <v>452</v>
      </c>
      <c r="C20" s="84" t="s">
        <v>560</v>
      </c>
      <c r="D20" s="84" t="str">
        <f t="shared" si="2"/>
        <v>Peter Potter</v>
      </c>
      <c r="E20" t="str">
        <f t="shared" si="1"/>
        <v>Peter Potter</v>
      </c>
    </row>
    <row r="21" spans="1:5" ht="15.75" thickBot="1">
      <c r="A21" s="87" t="s">
        <v>561</v>
      </c>
      <c r="B21" s="84" t="s">
        <v>562</v>
      </c>
      <c r="C21" s="84" t="s">
        <v>563</v>
      </c>
      <c r="D21" s="84" t="str">
        <f t="shared" si="2"/>
        <v>Roger Williams</v>
      </c>
      <c r="E21" t="str">
        <f t="shared" si="1"/>
        <v>Roger Williams</v>
      </c>
    </row>
    <row r="22" spans="1:5" ht="15.75" thickBot="1">
      <c r="A22" s="76"/>
      <c r="B22" s="76"/>
      <c r="C22" s="76"/>
      <c r="D22" s="76"/>
    </row>
    <row r="23" spans="1:5" ht="15.75" thickBot="1">
      <c r="A23" s="95" t="s">
        <v>564</v>
      </c>
      <c r="B23" s="88" t="s">
        <v>566</v>
      </c>
      <c r="C23" s="76"/>
      <c r="D23" s="76"/>
    </row>
  </sheetData>
  <mergeCells count="2">
    <mergeCell ref="A1:D1"/>
    <mergeCell ref="A2:D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14D5D-7307-4E1E-A73F-E3C2B617AB46}">
  <dimension ref="A1:J40"/>
  <sheetViews>
    <sheetView topLeftCell="A26" zoomScale="85" zoomScaleNormal="85" workbookViewId="0">
      <selection activeCell="C41" sqref="C41"/>
    </sheetView>
  </sheetViews>
  <sheetFormatPr defaultRowHeight="15"/>
  <cols>
    <col min="1" max="1" width="12.5703125" customWidth="1"/>
    <col min="2" max="2" width="13.140625" customWidth="1"/>
    <col min="3" max="3" width="18.42578125" customWidth="1"/>
    <col min="4" max="4" width="19" customWidth="1"/>
    <col min="9" max="9" width="17.42578125" customWidth="1"/>
  </cols>
  <sheetData>
    <row r="1" spans="1:6" ht="19.5" thickBot="1">
      <c r="A1" s="258" t="s">
        <v>567</v>
      </c>
      <c r="B1" s="259"/>
      <c r="C1" s="259"/>
      <c r="D1" s="259"/>
      <c r="E1" s="260"/>
      <c r="F1" s="76"/>
    </row>
    <row r="2" spans="1:6" ht="30" customHeight="1" thickBot="1">
      <c r="A2" s="261" t="s">
        <v>568</v>
      </c>
      <c r="B2" s="262"/>
      <c r="C2" s="262"/>
      <c r="D2" s="262"/>
      <c r="E2" s="263"/>
      <c r="F2" s="76"/>
    </row>
    <row r="3" spans="1:6" ht="15.75" thickBot="1">
      <c r="A3" s="75"/>
      <c r="B3" s="75"/>
      <c r="C3" s="75"/>
      <c r="D3" s="75"/>
      <c r="E3" s="75"/>
      <c r="F3" s="76"/>
    </row>
    <row r="4" spans="1:6" ht="15.75" thickBot="1">
      <c r="A4" s="272" t="s">
        <v>569</v>
      </c>
      <c r="B4" s="273"/>
      <c r="C4" s="273"/>
      <c r="D4" s="273"/>
      <c r="E4" s="274"/>
      <c r="F4" s="76"/>
    </row>
    <row r="5" spans="1:6" ht="15.75" thickBot="1">
      <c r="A5" s="96" t="s">
        <v>570</v>
      </c>
      <c r="B5" s="97" t="s">
        <v>571</v>
      </c>
      <c r="C5" s="97" t="s">
        <v>311</v>
      </c>
      <c r="D5" s="97" t="s">
        <v>572</v>
      </c>
      <c r="E5" s="97" t="s">
        <v>573</v>
      </c>
      <c r="F5" s="76"/>
    </row>
    <row r="6" spans="1:6" ht="27.75" customHeight="1" thickBot="1">
      <c r="A6" s="98">
        <v>43111</v>
      </c>
      <c r="B6" s="99">
        <v>1101</v>
      </c>
      <c r="C6" s="99" t="s">
        <v>574</v>
      </c>
      <c r="D6" s="99" t="s">
        <v>575</v>
      </c>
      <c r="E6" s="99" t="s">
        <v>94</v>
      </c>
      <c r="F6" s="76"/>
    </row>
    <row r="7" spans="1:6" ht="21" customHeight="1" thickBot="1">
      <c r="A7" s="98">
        <v>43111</v>
      </c>
      <c r="B7" s="99">
        <v>1102</v>
      </c>
      <c r="C7" s="99" t="s">
        <v>83</v>
      </c>
      <c r="D7" s="99" t="s">
        <v>576</v>
      </c>
      <c r="E7" s="99" t="s">
        <v>577</v>
      </c>
      <c r="F7" s="76"/>
    </row>
    <row r="8" spans="1:6" ht="24.75" customHeight="1" thickBot="1">
      <c r="A8" s="98">
        <v>43170</v>
      </c>
      <c r="B8" s="99">
        <v>1103</v>
      </c>
      <c r="C8" s="99" t="s">
        <v>578</v>
      </c>
      <c r="D8" s="99" t="s">
        <v>579</v>
      </c>
      <c r="E8" s="99" t="s">
        <v>580</v>
      </c>
      <c r="F8" s="76"/>
    </row>
    <row r="9" spans="1:6" ht="25.5" customHeight="1" thickBot="1">
      <c r="A9" s="98">
        <v>43170</v>
      </c>
      <c r="B9" s="99">
        <v>1104</v>
      </c>
      <c r="C9" s="99" t="s">
        <v>581</v>
      </c>
      <c r="D9" s="99" t="s">
        <v>582</v>
      </c>
      <c r="E9" s="99" t="s">
        <v>583</v>
      </c>
      <c r="F9" s="76"/>
    </row>
    <row r="10" spans="1:6" ht="15.75" thickBot="1">
      <c r="A10" s="98">
        <v>43170</v>
      </c>
      <c r="B10" s="99">
        <v>1105</v>
      </c>
      <c r="C10" s="99" t="s">
        <v>584</v>
      </c>
      <c r="D10" s="99" t="s">
        <v>585</v>
      </c>
      <c r="E10" s="99" t="s">
        <v>586</v>
      </c>
      <c r="F10" s="76"/>
    </row>
    <row r="11" spans="1:6" ht="15.75" thickBot="1">
      <c r="A11" s="98">
        <v>43262</v>
      </c>
      <c r="B11" s="99">
        <v>1106</v>
      </c>
      <c r="C11" s="99" t="s">
        <v>587</v>
      </c>
      <c r="D11" s="99" t="s">
        <v>585</v>
      </c>
      <c r="E11" s="99" t="s">
        <v>588</v>
      </c>
      <c r="F11" s="76"/>
    </row>
    <row r="12" spans="1:6" ht="30.75" customHeight="1" thickBot="1">
      <c r="A12" s="98">
        <v>43262</v>
      </c>
      <c r="B12" s="99">
        <v>1107</v>
      </c>
      <c r="C12" s="99" t="s">
        <v>589</v>
      </c>
      <c r="D12" s="99" t="s">
        <v>590</v>
      </c>
      <c r="E12" s="99" t="s">
        <v>591</v>
      </c>
      <c r="F12" s="76"/>
    </row>
    <row r="13" spans="1:6" ht="15.75" thickBot="1">
      <c r="A13" s="98">
        <v>43323</v>
      </c>
      <c r="B13" s="99">
        <v>1108</v>
      </c>
      <c r="C13" s="99" t="s">
        <v>592</v>
      </c>
      <c r="D13" s="99" t="s">
        <v>593</v>
      </c>
      <c r="E13" s="99" t="s">
        <v>594</v>
      </c>
      <c r="F13" s="76"/>
    </row>
    <row r="14" spans="1:6" ht="30" customHeight="1" thickBot="1">
      <c r="A14" s="98">
        <v>43323</v>
      </c>
      <c r="B14" s="99">
        <v>1109</v>
      </c>
      <c r="C14" s="99" t="s">
        <v>595</v>
      </c>
      <c r="D14" s="99" t="s">
        <v>596</v>
      </c>
      <c r="E14" s="99" t="s">
        <v>94</v>
      </c>
      <c r="F14" s="76"/>
    </row>
    <row r="15" spans="1:6" ht="32.25" customHeight="1" thickBot="1">
      <c r="A15" s="98">
        <v>43323</v>
      </c>
      <c r="B15" s="99">
        <v>1110</v>
      </c>
      <c r="C15" s="99" t="s">
        <v>597</v>
      </c>
      <c r="D15" s="99" t="s">
        <v>596</v>
      </c>
      <c r="E15" s="99" t="s">
        <v>598</v>
      </c>
      <c r="F15" s="76"/>
    </row>
    <row r="16" spans="1:6" ht="31.5" customHeight="1" thickBot="1">
      <c r="A16" s="98">
        <v>43354</v>
      </c>
      <c r="B16" s="99">
        <v>1111</v>
      </c>
      <c r="C16" s="99" t="s">
        <v>599</v>
      </c>
      <c r="D16" s="99" t="s">
        <v>596</v>
      </c>
      <c r="E16" s="99" t="s">
        <v>598</v>
      </c>
      <c r="F16" s="76"/>
    </row>
    <row r="17" spans="1:6" ht="15.75" thickBot="1">
      <c r="A17" s="98">
        <v>43354</v>
      </c>
      <c r="B17" s="99">
        <v>1109</v>
      </c>
      <c r="C17" s="99" t="s">
        <v>595</v>
      </c>
      <c r="D17" s="99" t="s">
        <v>596</v>
      </c>
      <c r="E17" s="99" t="s">
        <v>598</v>
      </c>
      <c r="F17" s="76"/>
    </row>
    <row r="18" spans="1:6" ht="38.25" customHeight="1" thickBot="1">
      <c r="A18" s="98">
        <v>43384</v>
      </c>
      <c r="B18" s="99">
        <v>1112</v>
      </c>
      <c r="C18" s="99" t="s">
        <v>600</v>
      </c>
      <c r="D18" s="99" t="s">
        <v>596</v>
      </c>
      <c r="E18" s="99" t="s">
        <v>601</v>
      </c>
      <c r="F18" s="76"/>
    </row>
    <row r="19" spans="1:6" ht="33.75" customHeight="1" thickBot="1">
      <c r="A19" s="98">
        <v>43384</v>
      </c>
      <c r="B19" s="99">
        <v>1113</v>
      </c>
      <c r="C19" s="99" t="s">
        <v>602</v>
      </c>
      <c r="D19" s="99" t="s">
        <v>596</v>
      </c>
      <c r="E19" s="99" t="s">
        <v>603</v>
      </c>
      <c r="F19" s="76"/>
    </row>
    <row r="20" spans="1:6" ht="15.75" thickBot="1">
      <c r="A20" s="98">
        <v>43384</v>
      </c>
      <c r="B20" s="99">
        <v>1114</v>
      </c>
      <c r="C20" s="99" t="s">
        <v>604</v>
      </c>
      <c r="D20" s="99" t="s">
        <v>596</v>
      </c>
      <c r="E20" s="99" t="s">
        <v>603</v>
      </c>
      <c r="F20" s="76"/>
    </row>
    <row r="21" spans="1:6" ht="15.75" thickBot="1">
      <c r="A21" s="98">
        <v>43384</v>
      </c>
      <c r="B21" s="99">
        <v>1117</v>
      </c>
      <c r="C21" s="99" t="s">
        <v>605</v>
      </c>
      <c r="D21" s="99" t="s">
        <v>596</v>
      </c>
      <c r="E21" s="99" t="s">
        <v>606</v>
      </c>
      <c r="F21" s="76"/>
    </row>
    <row r="22" spans="1:6" ht="29.25" customHeight="1" thickBot="1">
      <c r="A22" s="98">
        <v>43415</v>
      </c>
      <c r="B22" s="99">
        <v>1109</v>
      </c>
      <c r="C22" s="99" t="s">
        <v>595</v>
      </c>
      <c r="D22" s="99" t="s">
        <v>596</v>
      </c>
      <c r="E22" s="99" t="s">
        <v>598</v>
      </c>
      <c r="F22" s="76"/>
    </row>
    <row r="23" spans="1:6" ht="15.75" thickBot="1">
      <c r="A23" s="98">
        <v>43415</v>
      </c>
      <c r="B23" s="99">
        <v>1116</v>
      </c>
      <c r="C23" s="99" t="s">
        <v>607</v>
      </c>
      <c r="D23" s="99" t="s">
        <v>596</v>
      </c>
      <c r="E23" s="99" t="s">
        <v>606</v>
      </c>
      <c r="F23" s="76"/>
    </row>
    <row r="24" spans="1:6" ht="33.75" customHeight="1" thickBot="1">
      <c r="A24" s="98">
        <v>43415</v>
      </c>
      <c r="B24" s="99">
        <v>1116</v>
      </c>
      <c r="C24" s="99" t="s">
        <v>607</v>
      </c>
      <c r="D24" s="99" t="s">
        <v>596</v>
      </c>
      <c r="E24" s="99" t="s">
        <v>606</v>
      </c>
      <c r="F24" s="76"/>
    </row>
    <row r="25" spans="1:6" ht="33" customHeight="1" thickBot="1">
      <c r="A25" s="98">
        <v>43415</v>
      </c>
      <c r="B25" s="99">
        <v>1116</v>
      </c>
      <c r="C25" s="99" t="s">
        <v>607</v>
      </c>
      <c r="D25" s="99" t="s">
        <v>596</v>
      </c>
      <c r="E25" s="99" t="s">
        <v>606</v>
      </c>
      <c r="F25" s="76"/>
    </row>
    <row r="26" spans="1:6" ht="33.75" customHeight="1" thickBot="1">
      <c r="A26" s="100">
        <v>43405</v>
      </c>
      <c r="B26" s="99">
        <v>1010</v>
      </c>
      <c r="C26" s="99" t="s">
        <v>608</v>
      </c>
      <c r="D26" s="99" t="s">
        <v>609</v>
      </c>
      <c r="E26" s="99" t="s">
        <v>250</v>
      </c>
      <c r="F26" s="76"/>
    </row>
    <row r="27" spans="1:6" ht="15.75" thickBot="1">
      <c r="A27" s="76"/>
      <c r="B27" s="76"/>
      <c r="C27" s="76"/>
      <c r="D27" s="76"/>
      <c r="E27" s="76"/>
      <c r="F27" s="76"/>
    </row>
    <row r="28" spans="1:6" ht="15.75" thickBot="1">
      <c r="A28" s="88" t="s">
        <v>610</v>
      </c>
      <c r="B28" s="76"/>
      <c r="C28" s="76"/>
      <c r="D28" s="101" t="s">
        <v>611</v>
      </c>
      <c r="E28" s="76"/>
      <c r="F28" s="76"/>
    </row>
    <row r="29" spans="1:6" ht="15.75" thickBot="1">
      <c r="A29" s="102" t="s">
        <v>612</v>
      </c>
      <c r="B29" s="103">
        <f>COUNTA(C6:C26)</f>
        <v>21</v>
      </c>
      <c r="C29" s="76">
        <f>COUNTA(C6:C26)</f>
        <v>21</v>
      </c>
      <c r="D29" s="104"/>
      <c r="E29" s="76"/>
      <c r="F29" s="76"/>
    </row>
    <row r="30" spans="1:6" ht="15.75" thickBot="1">
      <c r="A30" s="88" t="s">
        <v>613</v>
      </c>
      <c r="B30" s="76"/>
      <c r="C30" s="76"/>
      <c r="D30" s="101" t="s">
        <v>614</v>
      </c>
      <c r="E30" s="76"/>
      <c r="F30" s="76"/>
    </row>
    <row r="31" spans="1:6" ht="15.75" thickBot="1">
      <c r="A31" s="102" t="s">
        <v>612</v>
      </c>
      <c r="B31" s="103">
        <f>COUNTIF(A6:E26,"SALES EXECUTIVE")</f>
        <v>12</v>
      </c>
      <c r="C31" s="76">
        <f>COUNTIF(D6:D26,"SALES EXECUTIVE")</f>
        <v>12</v>
      </c>
      <c r="D31" s="104"/>
      <c r="E31" s="76"/>
      <c r="F31" s="76"/>
    </row>
    <row r="32" spans="1:6" ht="15.75" thickBot="1">
      <c r="A32" s="88" t="s">
        <v>615</v>
      </c>
      <c r="B32" s="76"/>
      <c r="C32" s="76"/>
      <c r="D32" s="76"/>
      <c r="E32" s="105" t="s">
        <v>616</v>
      </c>
      <c r="F32" s="76"/>
    </row>
    <row r="33" spans="1:10" ht="28.5" customHeight="1" thickBot="1">
      <c r="A33" s="102" t="s">
        <v>612</v>
      </c>
      <c r="B33" s="103">
        <f>COUNTIFS(D6:D26,"SALES EXECUTIVE",E6:E26,"AMAZON")+COUNTIFS(D6:D26,"SALES EXECUTIVE",E6:E26,"MYNTRA")</f>
        <v>8</v>
      </c>
      <c r="C33" s="103">
        <f>COUNTIFS(D6:D26,"SALES EXECUTIVE",E6:E26,"AMAZON")+COUNTIFS(D6:D26,"SALES EXECUTIVE",E6:E26,"MYNTRA")</f>
        <v>8</v>
      </c>
      <c r="D33" s="76"/>
      <c r="E33" s="76"/>
      <c r="F33" s="76"/>
    </row>
    <row r="34" spans="1:10" ht="15.75" thickBot="1">
      <c r="A34" s="88" t="s">
        <v>617</v>
      </c>
      <c r="B34" s="76"/>
      <c r="C34" s="76"/>
      <c r="D34" s="76"/>
      <c r="E34" s="105" t="s">
        <v>620</v>
      </c>
      <c r="F34" s="76"/>
    </row>
    <row r="35" spans="1:10" ht="26.25" customHeight="1" thickBot="1">
      <c r="A35" s="102" t="s">
        <v>612</v>
      </c>
      <c r="B35" s="76" t="s">
        <v>62</v>
      </c>
      <c r="C35" s="76" t="s">
        <v>573</v>
      </c>
      <c r="D35" s="76"/>
      <c r="E35" s="76" t="s">
        <v>600</v>
      </c>
      <c r="F35" s="76"/>
      <c r="G35" t="s">
        <v>600</v>
      </c>
      <c r="I35" t="s">
        <v>62</v>
      </c>
      <c r="J35" t="s">
        <v>573</v>
      </c>
    </row>
    <row r="36" spans="1:10" ht="38.25" customHeight="1" thickBot="1">
      <c r="A36" s="76"/>
      <c r="B36" s="76" t="str">
        <f>VLOOKUP(E35,C6:E26,2,0)</f>
        <v>SALES EXECUTIVE</v>
      </c>
      <c r="C36" s="76" t="str">
        <f>VLOOKUP(E35,C6:E26,3,0)</f>
        <v>GROFFERS</v>
      </c>
      <c r="D36" s="76"/>
      <c r="E36" s="76"/>
      <c r="F36" s="76"/>
      <c r="I36" t="str">
        <f>VLOOKUP(G35,C6:E26,2,0)</f>
        <v>SALES EXECUTIVE</v>
      </c>
      <c r="J36" t="str">
        <f>VLOOKUP(G35,C6:E26,3,0)</f>
        <v>GROFFERS</v>
      </c>
    </row>
    <row r="37" spans="1:10" ht="26.25" customHeight="1" thickBot="1">
      <c r="A37" s="76"/>
      <c r="B37" s="76"/>
      <c r="C37" s="76"/>
      <c r="D37" s="76"/>
      <c r="E37" s="76"/>
      <c r="F37" s="76"/>
    </row>
    <row r="38" spans="1:10" ht="15.75" thickBot="1">
      <c r="A38" s="88" t="s">
        <v>618</v>
      </c>
      <c r="B38" s="76"/>
      <c r="C38" s="76"/>
      <c r="D38" s="76"/>
      <c r="E38" s="105" t="s">
        <v>619</v>
      </c>
      <c r="F38" s="76"/>
    </row>
    <row r="39" spans="1:10" ht="15.75" thickBot="1">
      <c r="A39" s="102" t="s">
        <v>612</v>
      </c>
      <c r="B39" s="103">
        <f>INDEX(A5:E26,MATCH(C21,C5:C26,0),MATCH(B5,A5:E5,0))</f>
        <v>1117</v>
      </c>
      <c r="C39" s="103">
        <f>INDEX(A5:E26,MATCH(C13,C5:C26,0),MATCH(B5,A5:E5,0))</f>
        <v>1108</v>
      </c>
      <c r="D39" s="76"/>
      <c r="E39" s="76"/>
      <c r="F39" s="76"/>
    </row>
    <row r="40" spans="1:10">
      <c r="B40">
        <f>INDEX(A5:E26,MATCH(C21,C5:C26,0),MATCH(B5,A5:E5,0))</f>
        <v>1117</v>
      </c>
      <c r="C40">
        <f>INDEX(A5:E26,MATCH(C13,C5:C26,0),MATCH(B5,A5:E5,0))</f>
        <v>1108</v>
      </c>
    </row>
  </sheetData>
  <mergeCells count="3">
    <mergeCell ref="A1:E1"/>
    <mergeCell ref="A2:E2"/>
    <mergeCell ref="A4:E4"/>
  </mergeCells>
  <dataValidations count="1">
    <dataValidation type="list" allowBlank="1" showInputMessage="1" showErrorMessage="1" sqref="E35 G35" xr:uid="{98F5B195-2E90-445C-820F-088FD8864AC7}">
      <formula1>$C$6:$C$26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C8803-3FA6-4560-9E69-DC5FAACA2BF6}">
  <dimension ref="A1:J31"/>
  <sheetViews>
    <sheetView topLeftCell="A15" workbookViewId="0">
      <selection activeCell="G30" sqref="G30:J30"/>
    </sheetView>
  </sheetViews>
  <sheetFormatPr defaultRowHeight="15"/>
  <cols>
    <col min="1" max="1" width="10.140625" customWidth="1"/>
    <col min="2" max="2" width="11.5703125" customWidth="1"/>
    <col min="3" max="3" width="11" customWidth="1"/>
    <col min="4" max="4" width="12" customWidth="1"/>
    <col min="5" max="5" width="11.85546875" customWidth="1"/>
    <col min="9" max="9" width="13.5703125" customWidth="1"/>
    <col min="10" max="10" width="11" customWidth="1"/>
  </cols>
  <sheetData>
    <row r="1" spans="1:5" ht="19.5" thickBot="1">
      <c r="A1" s="258" t="s">
        <v>621</v>
      </c>
      <c r="B1" s="259"/>
      <c r="C1" s="259"/>
      <c r="D1" s="259"/>
      <c r="E1" s="260"/>
    </row>
    <row r="2" spans="1:5" ht="15.75" thickBot="1">
      <c r="A2" s="261" t="s">
        <v>622</v>
      </c>
      <c r="B2" s="262"/>
      <c r="C2" s="262"/>
      <c r="D2" s="262"/>
      <c r="E2" s="263"/>
    </row>
    <row r="3" spans="1:5" ht="15.75" thickBot="1">
      <c r="A3" s="76"/>
      <c r="B3" s="76"/>
      <c r="C3" s="76"/>
      <c r="D3" s="76"/>
      <c r="E3" s="76"/>
    </row>
    <row r="4" spans="1:5" ht="30.75" thickBot="1">
      <c r="A4" s="75"/>
      <c r="B4" s="75"/>
      <c r="C4" s="106" t="s">
        <v>623</v>
      </c>
      <c r="D4" s="75"/>
      <c r="E4" s="75"/>
    </row>
    <row r="5" spans="1:5" ht="15.75" thickBot="1">
      <c r="A5" s="107" t="s">
        <v>571</v>
      </c>
      <c r="B5" s="108" t="s">
        <v>545</v>
      </c>
      <c r="C5" s="108" t="s">
        <v>546</v>
      </c>
      <c r="D5" s="108" t="s">
        <v>412</v>
      </c>
      <c r="E5" s="108" t="s">
        <v>624</v>
      </c>
    </row>
    <row r="6" spans="1:5" ht="15.75" thickBot="1">
      <c r="A6" s="109">
        <v>101</v>
      </c>
      <c r="B6" s="110" t="s">
        <v>625</v>
      </c>
      <c r="C6" s="110" t="s">
        <v>626</v>
      </c>
      <c r="D6" s="110" t="s">
        <v>72</v>
      </c>
      <c r="E6" s="110" t="s">
        <v>627</v>
      </c>
    </row>
    <row r="7" spans="1:5" ht="15.75" thickBot="1">
      <c r="A7" s="87">
        <v>102</v>
      </c>
      <c r="B7" s="84" t="s">
        <v>628</v>
      </c>
      <c r="C7" s="84" t="s">
        <v>629</v>
      </c>
      <c r="D7" s="84" t="s">
        <v>420</v>
      </c>
      <c r="E7" s="84" t="s">
        <v>510</v>
      </c>
    </row>
    <row r="8" spans="1:5" ht="15.75" thickBot="1">
      <c r="A8" s="109">
        <v>103</v>
      </c>
      <c r="B8" s="110" t="s">
        <v>630</v>
      </c>
      <c r="C8" s="110" t="s">
        <v>429</v>
      </c>
      <c r="D8" s="110" t="s">
        <v>72</v>
      </c>
      <c r="E8" s="110" t="s">
        <v>510</v>
      </c>
    </row>
    <row r="9" spans="1:5" ht="15.75" thickBot="1">
      <c r="A9" s="87">
        <v>104</v>
      </c>
      <c r="B9" s="84" t="s">
        <v>331</v>
      </c>
      <c r="C9" s="84" t="s">
        <v>631</v>
      </c>
      <c r="D9" s="84" t="s">
        <v>420</v>
      </c>
      <c r="E9" s="84" t="s">
        <v>508</v>
      </c>
    </row>
    <row r="10" spans="1:5" ht="15.75" thickBot="1">
      <c r="A10" s="109">
        <v>105</v>
      </c>
      <c r="B10" s="110" t="s">
        <v>630</v>
      </c>
      <c r="C10" s="110" t="s">
        <v>632</v>
      </c>
      <c r="D10" s="110" t="s">
        <v>420</v>
      </c>
      <c r="E10" s="110" t="s">
        <v>627</v>
      </c>
    </row>
    <row r="11" spans="1:5" ht="15.75" thickBot="1">
      <c r="A11" s="87">
        <v>106</v>
      </c>
      <c r="B11" s="84" t="s">
        <v>633</v>
      </c>
      <c r="C11" s="84" t="s">
        <v>634</v>
      </c>
      <c r="D11" s="84" t="s">
        <v>251</v>
      </c>
      <c r="E11" s="84" t="s">
        <v>508</v>
      </c>
    </row>
    <row r="12" spans="1:5" ht="15.75" thickBot="1">
      <c r="A12" s="109">
        <v>107</v>
      </c>
      <c r="B12" s="110" t="s">
        <v>635</v>
      </c>
      <c r="C12" s="110" t="s">
        <v>636</v>
      </c>
      <c r="D12" s="110" t="s">
        <v>72</v>
      </c>
      <c r="E12" s="110" t="s">
        <v>510</v>
      </c>
    </row>
    <row r="13" spans="1:5" ht="15.75" thickBot="1">
      <c r="A13" s="87">
        <v>108</v>
      </c>
      <c r="B13" s="84" t="s">
        <v>637</v>
      </c>
      <c r="C13" s="84" t="s">
        <v>638</v>
      </c>
      <c r="D13" s="84" t="s">
        <v>420</v>
      </c>
      <c r="E13" s="84" t="s">
        <v>627</v>
      </c>
    </row>
    <row r="14" spans="1:5" ht="15.75" thickBot="1">
      <c r="A14" s="109">
        <v>109</v>
      </c>
      <c r="B14" s="110" t="s">
        <v>639</v>
      </c>
      <c r="C14" s="110" t="s">
        <v>640</v>
      </c>
      <c r="D14" s="110" t="s">
        <v>251</v>
      </c>
      <c r="E14" s="110" t="s">
        <v>510</v>
      </c>
    </row>
    <row r="15" spans="1:5" ht="15.75" thickBot="1">
      <c r="A15" s="111">
        <v>110</v>
      </c>
      <c r="B15" s="112" t="s">
        <v>641</v>
      </c>
      <c r="C15" s="112" t="s">
        <v>642</v>
      </c>
      <c r="D15" s="112" t="s">
        <v>251</v>
      </c>
      <c r="E15" s="112" t="s">
        <v>508</v>
      </c>
    </row>
    <row r="16" spans="1:5" ht="15.75" thickBot="1">
      <c r="A16" s="76"/>
      <c r="B16" s="76"/>
      <c r="C16" s="76"/>
      <c r="D16" s="76"/>
      <c r="E16" s="76"/>
    </row>
    <row r="17" spans="1:10" ht="21.75" thickBot="1">
      <c r="A17" s="275" t="s">
        <v>643</v>
      </c>
      <c r="B17" s="276"/>
      <c r="C17" s="276"/>
      <c r="D17" s="276"/>
      <c r="E17" s="277"/>
    </row>
    <row r="18" spans="1:10" ht="15.75" thickBot="1">
      <c r="A18" s="76"/>
      <c r="B18" s="76"/>
      <c r="C18" s="76"/>
      <c r="D18" s="76"/>
      <c r="E18" s="76"/>
    </row>
    <row r="19" spans="1:10" ht="15.75" thickBot="1">
      <c r="A19" s="75"/>
      <c r="B19" s="75"/>
      <c r="C19" s="113" t="s">
        <v>644</v>
      </c>
      <c r="D19" s="75"/>
      <c r="E19" s="75"/>
    </row>
    <row r="20" spans="1:10" ht="15.75" thickBot="1">
      <c r="A20" s="107" t="s">
        <v>571</v>
      </c>
      <c r="B20" s="117" t="s">
        <v>545</v>
      </c>
      <c r="C20" s="117" t="s">
        <v>546</v>
      </c>
      <c r="D20" s="117" t="s">
        <v>412</v>
      </c>
      <c r="E20" s="246" t="s">
        <v>624</v>
      </c>
      <c r="F20" s="241" t="s">
        <v>1018</v>
      </c>
      <c r="G20" s="241" t="s">
        <v>1019</v>
      </c>
      <c r="H20" s="241" t="s">
        <v>1020</v>
      </c>
      <c r="I20" s="241" t="s">
        <v>58</v>
      </c>
      <c r="J20" s="241" t="s">
        <v>1021</v>
      </c>
    </row>
    <row r="21" spans="1:10" ht="15.75" thickBot="1">
      <c r="A21" s="114">
        <v>101</v>
      </c>
      <c r="B21" s="2" t="str">
        <f>VLOOKUP(A21,A5:E15,2,0)</f>
        <v>Donald</v>
      </c>
      <c r="C21" s="2" t="str">
        <f>VLOOKUP(A21,A5:E15,3,0)</f>
        <v>Patrick</v>
      </c>
      <c r="D21" s="2" t="str">
        <f>VLOOKUP(A21,A5:E15,4,0)</f>
        <v>Finance</v>
      </c>
      <c r="E21" s="247" t="str">
        <f>VLOOKUP(A21,A5:E15,5,0)</f>
        <v>Banglore</v>
      </c>
      <c r="F21" s="2">
        <v>101</v>
      </c>
      <c r="G21" s="2" t="str">
        <f>VLOOKUP(F21,A5:E15,2,0)</f>
        <v>Donald</v>
      </c>
      <c r="H21" s="2" t="str">
        <f t="shared" ref="H21:J21" si="0">VLOOKUP(G21,B5:F15,2,0)</f>
        <v>Patrick</v>
      </c>
      <c r="I21" s="2" t="str">
        <f t="shared" si="0"/>
        <v>Finance</v>
      </c>
      <c r="J21" s="2" t="str">
        <f t="shared" si="0"/>
        <v>Banglore</v>
      </c>
    </row>
    <row r="22" spans="1:10" ht="15.75" thickBot="1">
      <c r="A22" s="115">
        <v>103</v>
      </c>
      <c r="B22" s="2" t="str">
        <f>VLOOKUP(A22,A5:E15,2,0)</f>
        <v>Ian</v>
      </c>
      <c r="C22" s="2" t="str">
        <f>VLOOKUP(A22,A5:E15,3,0)</f>
        <v>Jacob</v>
      </c>
      <c r="D22" s="2" t="str">
        <f>VLOOKUP(A22,A5:E15,4,0)</f>
        <v>Finance</v>
      </c>
      <c r="E22" s="247" t="str">
        <f>VLOOKUP(A22,A5:E15,5,0)</f>
        <v>Hyderabad</v>
      </c>
      <c r="F22" s="2">
        <v>103</v>
      </c>
      <c r="G22" s="2" t="str">
        <f>VLOOKUP(F22,A5:E15,2,0)</f>
        <v>Ian</v>
      </c>
      <c r="H22" s="2" t="str">
        <f t="shared" ref="H22:J22" si="1">VLOOKUP(G22,B5:F15,2,0)</f>
        <v>Jacob</v>
      </c>
      <c r="I22" s="2" t="str">
        <f t="shared" si="1"/>
        <v>Finance</v>
      </c>
      <c r="J22" s="2" t="str">
        <f t="shared" si="1"/>
        <v>Banglore</v>
      </c>
    </row>
    <row r="23" spans="1:10" ht="15.75" thickBot="1">
      <c r="A23" s="114">
        <v>102</v>
      </c>
      <c r="B23" s="2" t="str">
        <f>VLOOKUP(A23,A5:E15,2,0)</f>
        <v>Samuel</v>
      </c>
      <c r="C23" s="2" t="str">
        <f t="shared" ref="C23:E23" si="2">VLOOKUP(B23,B5:F15,2,0)</f>
        <v>Samson</v>
      </c>
      <c r="D23" s="2" t="str">
        <f t="shared" si="2"/>
        <v>Marketing</v>
      </c>
      <c r="E23" s="247" t="str">
        <f t="shared" si="2"/>
        <v>Hyderabad</v>
      </c>
      <c r="F23" s="2">
        <v>102</v>
      </c>
      <c r="G23" s="2" t="str">
        <f>VLOOKUP(F23,A5:E15,2,0)</f>
        <v>Samuel</v>
      </c>
      <c r="H23" s="2" t="str">
        <f t="shared" ref="H23:J27" si="3">VLOOKUP(G23,B5:F15,2,0)</f>
        <v>Samson</v>
      </c>
      <c r="I23" s="2" t="str">
        <f t="shared" si="3"/>
        <v>Marketing</v>
      </c>
      <c r="J23" s="2" t="str">
        <f t="shared" si="3"/>
        <v>Hyderabad</v>
      </c>
    </row>
    <row r="24" spans="1:10" ht="15.75" thickBot="1">
      <c r="A24" s="115">
        <v>105</v>
      </c>
      <c r="B24" s="2" t="str">
        <f>VLOOKUP(A24,A5:E15,2,0)</f>
        <v>Ian</v>
      </c>
      <c r="C24" s="2" t="str">
        <f>VLOOKUP(A24,A5:E15,3,0)</f>
        <v>Smith</v>
      </c>
      <c r="D24" s="2" t="str">
        <f>VLOOKUP(A24,A5:E15,4,0)</f>
        <v>Marketing</v>
      </c>
      <c r="E24" s="247" t="str">
        <f>VLOOKUP(A24,A5:E15,5,0)</f>
        <v>Banglore</v>
      </c>
      <c r="F24" s="2">
        <v>105</v>
      </c>
      <c r="G24" s="2" t="str">
        <f t="shared" ref="G24:G30" si="4">VLOOKUP(F24,A6:E16,2,0)</f>
        <v>Ian</v>
      </c>
      <c r="H24" s="2" t="str">
        <f t="shared" si="3"/>
        <v>Jacob</v>
      </c>
      <c r="I24" s="2" t="str">
        <f t="shared" si="3"/>
        <v>Finance</v>
      </c>
      <c r="J24" s="2" t="str">
        <f t="shared" si="3"/>
        <v>Banglore</v>
      </c>
    </row>
    <row r="25" spans="1:10" ht="15.75" thickBot="1">
      <c r="A25" s="114">
        <v>108</v>
      </c>
      <c r="B25" s="2" t="str">
        <f>VLOOKUP(A25,A5:E15,2,0)</f>
        <v>Christine</v>
      </c>
      <c r="C25" s="2" t="str">
        <f>VLOOKUP(A25,A5:E15,3,0)</f>
        <v>Salvi</v>
      </c>
      <c r="D25" s="2" t="str">
        <f>VLOOKUP(A25,A5:E15,4,0)</f>
        <v>Marketing</v>
      </c>
      <c r="E25" s="247" t="str">
        <f>VLOOKUP(A25,A6:E15,5,0)</f>
        <v>Banglore</v>
      </c>
      <c r="F25" s="2">
        <v>108</v>
      </c>
      <c r="G25" s="2" t="str">
        <f t="shared" si="4"/>
        <v>Christine</v>
      </c>
      <c r="H25" s="2" t="str">
        <f t="shared" si="3"/>
        <v>Salvi</v>
      </c>
      <c r="I25" s="2" t="str">
        <f t="shared" si="3"/>
        <v>Marketing</v>
      </c>
      <c r="J25" s="2" t="str">
        <f t="shared" si="3"/>
        <v>Hyderabad</v>
      </c>
    </row>
    <row r="26" spans="1:10" ht="15.75" thickBot="1">
      <c r="A26" s="115">
        <v>106</v>
      </c>
      <c r="B26" s="2" t="str">
        <f>VLOOKUP(A26,A5:E15,2,0)</f>
        <v>Henry</v>
      </c>
      <c r="C26" s="2" t="str">
        <f>VLOOKUP(A26,A5:E15,3,0)</f>
        <v>Madrid</v>
      </c>
      <c r="D26" s="2" t="str">
        <f>VLOOKUP(A26,A5:E15,4,0)</f>
        <v>IT</v>
      </c>
      <c r="E26" s="247" t="str">
        <f>VLOOKUP(A26,A5:E15,5,0)</f>
        <v>Pune</v>
      </c>
      <c r="F26" s="2">
        <v>106</v>
      </c>
      <c r="G26" s="2" t="str">
        <f t="shared" si="4"/>
        <v>Henry</v>
      </c>
      <c r="H26" s="2" t="str">
        <f t="shared" si="3"/>
        <v>Madrid</v>
      </c>
      <c r="I26" s="2" t="str">
        <f t="shared" si="3"/>
        <v>IT</v>
      </c>
      <c r="J26" s="2" t="str">
        <f t="shared" si="3"/>
        <v>Pune</v>
      </c>
    </row>
    <row r="27" spans="1:10" ht="15.75" thickBot="1">
      <c r="A27" s="114">
        <v>107</v>
      </c>
      <c r="B27" s="2" t="str">
        <f>VLOOKUP(A27,A5:E15,2,0)</f>
        <v>Ronica</v>
      </c>
      <c r="C27" s="2" t="str">
        <f>VLOOKUP(A27,A5:E15,3,0)</f>
        <v>Brave</v>
      </c>
      <c r="D27" s="2" t="str">
        <f>VLOOKUP(A27,A5:E15,4,0)</f>
        <v>Finance</v>
      </c>
      <c r="E27" s="247" t="str">
        <f>VLOOKUP(A27,A5:E15,5,0)</f>
        <v>Hyderabad</v>
      </c>
      <c r="F27" s="2">
        <v>107</v>
      </c>
      <c r="G27" s="2" t="str">
        <f t="shared" si="4"/>
        <v>Ronica</v>
      </c>
      <c r="H27" s="2" t="str">
        <f t="shared" si="3"/>
        <v>Brave</v>
      </c>
      <c r="I27" s="2" t="str">
        <f t="shared" si="3"/>
        <v>Finance</v>
      </c>
      <c r="J27" s="2" t="str">
        <f t="shared" si="3"/>
        <v>Hyderabad</v>
      </c>
    </row>
    <row r="28" spans="1:10" ht="15.75" thickBot="1">
      <c r="A28" s="115">
        <v>104</v>
      </c>
      <c r="B28" s="2" t="str">
        <f>VLOOKUP(A28,A5:E15,2,0)</f>
        <v>David</v>
      </c>
      <c r="C28" s="2" t="str">
        <f>VLOOKUP(A28,A5:E15,3,0)</f>
        <v>Johnson</v>
      </c>
      <c r="D28" s="2" t="str">
        <f>VLOOKUP(A28,A5:E15,4,0)</f>
        <v>Marketing</v>
      </c>
      <c r="E28" s="247" t="str">
        <f>VLOOKUP(A28,A5:E15,5,0)</f>
        <v>Pune</v>
      </c>
      <c r="F28" s="2">
        <v>104</v>
      </c>
      <c r="G28" s="2" t="str">
        <f>VLOOKUP(F28,A5:E15,2,0)</f>
        <v>David</v>
      </c>
      <c r="H28" s="2" t="str">
        <f t="shared" ref="H28:J28" si="5">VLOOKUP(G28,B5:F15,2,0)</f>
        <v>Johnson</v>
      </c>
      <c r="I28" s="2" t="str">
        <f t="shared" si="5"/>
        <v>Marketing</v>
      </c>
      <c r="J28" s="2" t="str">
        <f t="shared" si="5"/>
        <v>Hyderabad</v>
      </c>
    </row>
    <row r="29" spans="1:10" ht="15.75" thickBot="1">
      <c r="A29" s="114">
        <v>109</v>
      </c>
      <c r="B29" s="2" t="str">
        <f>VLOOKUP(A29,A5:E15,2,0)</f>
        <v>Andrew</v>
      </c>
      <c r="C29" s="2" t="str">
        <f t="shared" ref="C29:E29" si="6">VLOOKUP(B29,B5:F15,2,0)</f>
        <v>Baisley</v>
      </c>
      <c r="D29" s="2" t="str">
        <f t="shared" si="6"/>
        <v>IT</v>
      </c>
      <c r="E29" s="247" t="str">
        <f t="shared" si="6"/>
        <v>Pune</v>
      </c>
      <c r="F29" s="2">
        <v>109</v>
      </c>
      <c r="G29" s="2" t="str">
        <f t="shared" si="4"/>
        <v>Andrew</v>
      </c>
      <c r="H29" s="2" t="str">
        <f t="shared" ref="H29:H30" si="7">VLOOKUP(G29,B11:F21,2,0)</f>
        <v>Baisley</v>
      </c>
      <c r="I29" s="2" t="str">
        <f t="shared" ref="I29:I30" si="8">VLOOKUP(H29,C11:G21,2,0)</f>
        <v>IT</v>
      </c>
      <c r="J29" s="2" t="str">
        <f t="shared" ref="J29:J30" si="9">VLOOKUP(I29,D11:H21,2,0)</f>
        <v>Pune</v>
      </c>
    </row>
    <row r="30" spans="1:10" ht="15.75" thickBot="1">
      <c r="A30" s="116">
        <v>110</v>
      </c>
      <c r="B30" s="2" t="str">
        <f>VLOOKUP(A30,A5:E15,2,0)</f>
        <v>Erica</v>
      </c>
      <c r="C30" s="2" t="str">
        <f t="shared" ref="C30:E30" si="10">VLOOKUP(B30,B5:F15,2,0)</f>
        <v>Irons</v>
      </c>
      <c r="D30" s="2" t="str">
        <f t="shared" si="10"/>
        <v>IT</v>
      </c>
      <c r="E30" s="247" t="str">
        <f t="shared" si="10"/>
        <v>Pune</v>
      </c>
      <c r="F30" s="2">
        <v>110</v>
      </c>
      <c r="G30" s="2" t="str">
        <f t="shared" si="4"/>
        <v>Erica</v>
      </c>
      <c r="H30" s="2" t="str">
        <f t="shared" si="7"/>
        <v>Irons</v>
      </c>
      <c r="I30" s="2" t="str">
        <f t="shared" si="8"/>
        <v>IT</v>
      </c>
      <c r="J30" s="2" t="str">
        <f t="shared" si="9"/>
        <v>Hyderabad</v>
      </c>
    </row>
    <row r="31" spans="1:10" ht="15.75" thickBot="1">
      <c r="A31" s="76"/>
      <c r="B31" s="118"/>
      <c r="C31" s="118"/>
      <c r="D31" s="118"/>
      <c r="E31" s="118"/>
    </row>
  </sheetData>
  <mergeCells count="3">
    <mergeCell ref="A1:E1"/>
    <mergeCell ref="A2:E2"/>
    <mergeCell ref="A17:E1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8AA95-56D2-4732-A7DB-48973ACC6E23}">
  <dimension ref="A1:I46"/>
  <sheetViews>
    <sheetView topLeftCell="A46" workbookViewId="0">
      <selection activeCell="C9" sqref="C9"/>
    </sheetView>
  </sheetViews>
  <sheetFormatPr defaultRowHeight="15"/>
  <sheetData>
    <row r="1" spans="1:9" ht="19.5" thickBot="1">
      <c r="A1" s="258" t="s">
        <v>645</v>
      </c>
      <c r="B1" s="259"/>
      <c r="C1" s="259"/>
      <c r="D1" s="259"/>
      <c r="E1" s="259"/>
      <c r="F1" s="259"/>
      <c r="G1" s="259"/>
      <c r="H1" s="259"/>
      <c r="I1" s="260"/>
    </row>
    <row r="2" spans="1:9" ht="15.75" thickBot="1">
      <c r="A2" s="261" t="s">
        <v>646</v>
      </c>
      <c r="B2" s="262"/>
      <c r="C2" s="262"/>
      <c r="D2" s="262"/>
      <c r="E2" s="262"/>
      <c r="F2" s="262"/>
      <c r="G2" s="262"/>
      <c r="H2" s="262"/>
      <c r="I2" s="263"/>
    </row>
    <row r="3" spans="1:9" ht="15.75" thickBot="1">
      <c r="A3" s="75"/>
      <c r="B3" s="75"/>
      <c r="C3" s="75"/>
      <c r="D3" s="75"/>
      <c r="E3" s="75"/>
      <c r="F3" s="75"/>
      <c r="G3" s="75"/>
      <c r="H3" s="76"/>
      <c r="I3" s="76"/>
    </row>
    <row r="4" spans="1:9" ht="15.75" thickBot="1">
      <c r="A4" s="93" t="s">
        <v>647</v>
      </c>
      <c r="B4" s="99" t="s">
        <v>648</v>
      </c>
      <c r="C4" s="99" t="s">
        <v>649</v>
      </c>
      <c r="D4" s="99" t="s">
        <v>285</v>
      </c>
      <c r="E4" s="99" t="s">
        <v>650</v>
      </c>
      <c r="F4" s="99" t="s">
        <v>269</v>
      </c>
      <c r="G4" s="99" t="s">
        <v>651</v>
      </c>
      <c r="H4" s="76"/>
      <c r="I4" s="76"/>
    </row>
    <row r="5" spans="1:9" ht="15.75" thickBot="1">
      <c r="A5" s="93" t="s">
        <v>652</v>
      </c>
      <c r="B5" s="99">
        <v>240</v>
      </c>
      <c r="C5" s="99">
        <v>180</v>
      </c>
      <c r="D5" s="99">
        <v>310</v>
      </c>
      <c r="E5" s="99">
        <v>445</v>
      </c>
      <c r="F5" s="99">
        <v>650</v>
      </c>
      <c r="G5" s="99">
        <v>700</v>
      </c>
      <c r="H5" s="76"/>
      <c r="I5" s="76"/>
    </row>
    <row r="6" spans="1:9" ht="15.75" thickBot="1">
      <c r="A6" s="75"/>
      <c r="B6" s="75"/>
      <c r="C6" s="76"/>
      <c r="D6" s="76"/>
      <c r="E6" s="76"/>
      <c r="F6" s="76"/>
      <c r="G6" s="76"/>
      <c r="H6" s="76"/>
      <c r="I6" s="76"/>
    </row>
    <row r="7" spans="1:9" ht="15.75" thickBot="1">
      <c r="A7" s="93" t="s">
        <v>647</v>
      </c>
      <c r="B7" s="99" t="s">
        <v>650</v>
      </c>
      <c r="C7" s="76"/>
      <c r="D7" s="76"/>
      <c r="E7" s="76"/>
      <c r="F7" s="76"/>
      <c r="G7" s="76"/>
      <c r="H7" s="76"/>
      <c r="I7" s="76"/>
    </row>
    <row r="8" spans="1:9" ht="15.75" thickBot="1">
      <c r="A8" s="93" t="s">
        <v>652</v>
      </c>
      <c r="B8" s="84">
        <f>HLOOKUP(B7,A4:E5,2,0)</f>
        <v>445</v>
      </c>
      <c r="C8" s="76">
        <f>HLOOKUP(B7,A4:G5,2,0)</f>
        <v>445</v>
      </c>
      <c r="D8" s="76"/>
      <c r="E8" s="76"/>
      <c r="F8" s="76"/>
      <c r="G8" s="76"/>
      <c r="H8" s="76"/>
      <c r="I8" s="76"/>
    </row>
    <row r="9" spans="1:9" ht="15.75" thickBot="1">
      <c r="A9" s="76"/>
      <c r="B9" s="76"/>
      <c r="C9" s="76"/>
      <c r="D9" s="76"/>
      <c r="E9" s="76"/>
      <c r="F9" s="76"/>
      <c r="G9" s="76"/>
      <c r="H9" s="76"/>
      <c r="I9" s="76"/>
    </row>
    <row r="10" spans="1:9" ht="15.75" thickBot="1">
      <c r="A10" s="75"/>
      <c r="B10" s="75"/>
      <c r="C10" s="75"/>
      <c r="D10" s="75"/>
      <c r="E10" s="75"/>
      <c r="F10" s="75"/>
      <c r="G10" s="75"/>
      <c r="H10" s="76"/>
      <c r="I10" s="76"/>
    </row>
    <row r="11" spans="1:9" ht="15.75" thickBot="1">
      <c r="A11" s="77" t="s">
        <v>311</v>
      </c>
      <c r="B11" s="81" t="s">
        <v>562</v>
      </c>
      <c r="C11" s="81" t="s">
        <v>653</v>
      </c>
      <c r="D11" s="81" t="s">
        <v>654</v>
      </c>
      <c r="E11" s="81" t="s">
        <v>655</v>
      </c>
      <c r="F11" s="81" t="s">
        <v>656</v>
      </c>
      <c r="G11" s="81" t="s">
        <v>657</v>
      </c>
      <c r="H11" s="76"/>
      <c r="I11" s="76"/>
    </row>
    <row r="12" spans="1:9" ht="15.75" thickBot="1">
      <c r="A12" s="77" t="s">
        <v>658</v>
      </c>
      <c r="B12" s="81">
        <v>36</v>
      </c>
      <c r="C12" s="81">
        <v>45</v>
      </c>
      <c r="D12" s="81">
        <v>52</v>
      </c>
      <c r="E12" s="81">
        <v>66</v>
      </c>
      <c r="F12" s="81">
        <v>75</v>
      </c>
      <c r="G12" s="81">
        <v>40</v>
      </c>
      <c r="H12" s="76"/>
      <c r="I12" s="76"/>
    </row>
    <row r="13" spans="1:9" ht="15.75" thickBot="1">
      <c r="A13" s="77" t="s">
        <v>2</v>
      </c>
      <c r="B13" s="81">
        <v>82</v>
      </c>
      <c r="C13" s="81">
        <v>71</v>
      </c>
      <c r="D13" s="81">
        <v>56</v>
      </c>
      <c r="E13" s="81">
        <v>32</v>
      </c>
      <c r="F13" s="81">
        <v>81</v>
      </c>
      <c r="G13" s="81">
        <v>66</v>
      </c>
      <c r="H13" s="76"/>
      <c r="I13" s="76"/>
    </row>
    <row r="14" spans="1:9" ht="15.75" thickBot="1">
      <c r="A14" s="77" t="s">
        <v>659</v>
      </c>
      <c r="B14" s="81">
        <v>32</v>
      </c>
      <c r="C14" s="81">
        <v>45</v>
      </c>
      <c r="D14" s="81">
        <v>52</v>
      </c>
      <c r="E14" s="81">
        <v>51</v>
      </c>
      <c r="F14" s="81">
        <v>71</v>
      </c>
      <c r="G14" s="81">
        <v>74</v>
      </c>
      <c r="H14" s="76"/>
      <c r="I14" s="76"/>
    </row>
    <row r="15" spans="1:9" ht="15.75" thickBot="1">
      <c r="A15" s="76"/>
      <c r="B15" s="76"/>
      <c r="C15" s="76"/>
      <c r="D15" s="76"/>
      <c r="E15" s="76"/>
      <c r="F15" s="76"/>
      <c r="G15" s="76"/>
      <c r="H15" s="76"/>
      <c r="I15" s="76"/>
    </row>
    <row r="16" spans="1:9" ht="15.75" thickBot="1">
      <c r="A16" s="75"/>
      <c r="B16" s="75"/>
      <c r="C16" s="75"/>
      <c r="D16" s="76"/>
      <c r="E16" s="76"/>
      <c r="F16" s="76"/>
      <c r="G16" s="76"/>
      <c r="H16" s="76"/>
      <c r="I16" s="76"/>
    </row>
    <row r="17" spans="1:9" ht="15.75" thickBot="1">
      <c r="A17" s="254" t="s">
        <v>660</v>
      </c>
      <c r="B17" s="255"/>
      <c r="C17" s="84">
        <f>HLOOKUP(B11,A11:G14,3,0)</f>
        <v>82</v>
      </c>
      <c r="D17" s="76"/>
      <c r="E17" s="76"/>
      <c r="F17" s="76"/>
      <c r="G17" s="76"/>
      <c r="H17" s="76"/>
      <c r="I17" s="76"/>
    </row>
    <row r="18" spans="1:9" ht="15.75" thickBot="1">
      <c r="A18" s="75"/>
      <c r="B18" s="75"/>
      <c r="C18" s="75"/>
      <c r="D18" s="75"/>
      <c r="E18" s="75"/>
      <c r="F18" s="75"/>
      <c r="G18" s="75"/>
      <c r="H18" s="76"/>
      <c r="I18" s="76"/>
    </row>
    <row r="19" spans="1:9" ht="15.75" thickBot="1">
      <c r="A19" s="77" t="s">
        <v>311</v>
      </c>
      <c r="B19" s="81" t="s">
        <v>562</v>
      </c>
      <c r="C19" s="81" t="s">
        <v>653</v>
      </c>
      <c r="D19" s="81" t="s">
        <v>654</v>
      </c>
      <c r="E19" s="81" t="s">
        <v>655</v>
      </c>
      <c r="F19" s="81" t="s">
        <v>656</v>
      </c>
      <c r="G19" s="81" t="s">
        <v>657</v>
      </c>
      <c r="H19" s="76"/>
      <c r="I19" s="76"/>
    </row>
    <row r="20" spans="1:9" ht="15.75" thickBot="1">
      <c r="A20" s="77" t="s">
        <v>658</v>
      </c>
      <c r="B20" s="81">
        <v>36</v>
      </c>
      <c r="C20" s="81">
        <v>45</v>
      </c>
      <c r="D20" s="81">
        <v>52</v>
      </c>
      <c r="E20" s="81">
        <v>66</v>
      </c>
      <c r="F20" s="81">
        <v>75</v>
      </c>
      <c r="G20" s="81">
        <v>40</v>
      </c>
      <c r="H20" s="76"/>
      <c r="I20" s="76"/>
    </row>
    <row r="21" spans="1:9" ht="15.75" thickBot="1">
      <c r="A21" s="77" t="s">
        <v>2</v>
      </c>
      <c r="B21" s="81">
        <v>82</v>
      </c>
      <c r="C21" s="81">
        <v>71</v>
      </c>
      <c r="D21" s="81">
        <v>56</v>
      </c>
      <c r="E21" s="81">
        <v>32</v>
      </c>
      <c r="F21" s="81">
        <v>81</v>
      </c>
      <c r="G21" s="81">
        <v>66</v>
      </c>
      <c r="H21" s="76"/>
      <c r="I21" s="76"/>
    </row>
    <row r="22" spans="1:9" ht="15.75" thickBot="1">
      <c r="A22" s="77" t="s">
        <v>659</v>
      </c>
      <c r="B22" s="81">
        <v>32</v>
      </c>
      <c r="C22" s="81">
        <v>45</v>
      </c>
      <c r="D22" s="81">
        <v>52</v>
      </c>
      <c r="E22" s="81">
        <v>51</v>
      </c>
      <c r="F22" s="81">
        <v>71</v>
      </c>
      <c r="G22" s="81">
        <v>74</v>
      </c>
      <c r="H22" s="76"/>
      <c r="I22" s="76"/>
    </row>
    <row r="23" spans="1:9" ht="15.75" thickBot="1">
      <c r="A23" s="75"/>
      <c r="B23" s="75"/>
      <c r="C23" s="75"/>
      <c r="D23" s="76"/>
      <c r="E23" s="76"/>
      <c r="F23" s="76"/>
      <c r="G23" s="76"/>
      <c r="H23" s="76"/>
      <c r="I23" s="76"/>
    </row>
    <row r="24" spans="1:9" ht="15.75" thickBot="1">
      <c r="A24" s="254" t="s">
        <v>661</v>
      </c>
      <c r="B24" s="255"/>
      <c r="C24" s="84">
        <f>HLOOKUP(F19,A19:G22,3,0)</f>
        <v>81</v>
      </c>
      <c r="D24" s="76"/>
      <c r="E24" s="76"/>
      <c r="F24" s="76"/>
      <c r="G24" s="76"/>
      <c r="H24" s="76"/>
      <c r="I24" s="76"/>
    </row>
    <row r="25" spans="1:9" ht="15.75" thickBot="1">
      <c r="A25" s="75"/>
      <c r="B25" s="75"/>
      <c r="C25" s="75"/>
      <c r="D25" s="75"/>
      <c r="E25" s="75"/>
      <c r="F25" s="75"/>
      <c r="G25" s="76"/>
      <c r="H25" s="76"/>
      <c r="I25" s="76"/>
    </row>
    <row r="26" spans="1:9" ht="15.75" thickBot="1">
      <c r="A26" s="77" t="s">
        <v>662</v>
      </c>
      <c r="B26" s="81" t="s">
        <v>663</v>
      </c>
      <c r="C26" s="119" t="s">
        <v>664</v>
      </c>
      <c r="D26" s="119" t="s">
        <v>665</v>
      </c>
      <c r="E26" s="119" t="s">
        <v>666</v>
      </c>
      <c r="F26" s="119" t="s">
        <v>667</v>
      </c>
      <c r="G26" s="76"/>
      <c r="H26" s="76"/>
      <c r="I26" s="76"/>
    </row>
    <row r="27" spans="1:9" ht="15.75" thickBot="1">
      <c r="A27" s="77" t="s">
        <v>668</v>
      </c>
      <c r="B27" s="84">
        <v>66</v>
      </c>
      <c r="C27" s="84">
        <v>43</v>
      </c>
      <c r="D27" s="84">
        <v>36</v>
      </c>
      <c r="E27" s="84">
        <v>82</v>
      </c>
      <c r="F27" s="84">
        <v>89</v>
      </c>
      <c r="G27" s="76"/>
      <c r="H27" s="76"/>
      <c r="I27" s="76"/>
    </row>
    <row r="28" spans="1:9" ht="15.75" thickBot="1">
      <c r="A28" s="77" t="s">
        <v>669</v>
      </c>
      <c r="B28" s="84">
        <v>51</v>
      </c>
      <c r="C28" s="84">
        <v>83</v>
      </c>
      <c r="D28" s="84">
        <v>41</v>
      </c>
      <c r="E28" s="84">
        <v>125</v>
      </c>
      <c r="F28" s="84">
        <v>79</v>
      </c>
      <c r="G28" s="76"/>
      <c r="H28" s="76"/>
      <c r="I28" s="76"/>
    </row>
    <row r="29" spans="1:9" ht="15.75" thickBot="1">
      <c r="A29" s="77" t="s">
        <v>670</v>
      </c>
      <c r="B29" s="84">
        <v>35</v>
      </c>
      <c r="C29" s="84">
        <v>97</v>
      </c>
      <c r="D29" s="84">
        <v>92</v>
      </c>
      <c r="E29" s="84">
        <v>41</v>
      </c>
      <c r="F29" s="84">
        <v>39</v>
      </c>
      <c r="G29" s="76"/>
      <c r="H29" s="76"/>
      <c r="I29" s="76"/>
    </row>
    <row r="30" spans="1:9" ht="15.75" thickBot="1">
      <c r="A30" s="77" t="s">
        <v>671</v>
      </c>
      <c r="B30" s="84">
        <v>84</v>
      </c>
      <c r="C30" s="84">
        <v>76</v>
      </c>
      <c r="D30" s="84">
        <v>35</v>
      </c>
      <c r="E30" s="84">
        <v>48</v>
      </c>
      <c r="F30" s="84">
        <v>37</v>
      </c>
      <c r="G30" s="76"/>
      <c r="H30" s="76"/>
      <c r="I30" s="76"/>
    </row>
    <row r="31" spans="1:9" ht="15.75" thickBot="1">
      <c r="A31" s="77" t="s">
        <v>672</v>
      </c>
      <c r="B31" s="84">
        <v>110</v>
      </c>
      <c r="C31" s="84">
        <v>77</v>
      </c>
      <c r="D31" s="84">
        <v>90</v>
      </c>
      <c r="E31" s="84">
        <v>37</v>
      </c>
      <c r="F31" s="84">
        <v>34</v>
      </c>
      <c r="G31" s="76"/>
      <c r="H31" s="76"/>
      <c r="I31" s="76"/>
    </row>
    <row r="32" spans="1:9" ht="15.75" thickBot="1">
      <c r="A32" s="75"/>
      <c r="B32" s="75"/>
      <c r="C32" s="76"/>
      <c r="D32" s="76"/>
      <c r="E32" s="76"/>
      <c r="F32" s="76"/>
      <c r="G32" s="76"/>
      <c r="H32" s="76"/>
      <c r="I32" s="76"/>
    </row>
    <row r="33" spans="1:9" ht="15.75" thickBot="1">
      <c r="A33" s="77" t="s">
        <v>662</v>
      </c>
      <c r="B33" s="84" t="s">
        <v>666</v>
      </c>
      <c r="C33" s="76"/>
      <c r="D33" s="76"/>
      <c r="E33" s="76"/>
      <c r="F33" s="76"/>
      <c r="G33" s="76"/>
      <c r="H33" s="76"/>
      <c r="I33" s="76"/>
    </row>
    <row r="34" spans="1:9" ht="15.75" thickBot="1">
      <c r="A34" s="83" t="s">
        <v>673</v>
      </c>
      <c r="B34" s="84">
        <f>HLOOKUP(B33,A26:F31,5,0)</f>
        <v>48</v>
      </c>
      <c r="C34" s="76"/>
      <c r="D34" s="76"/>
      <c r="E34" s="76"/>
      <c r="F34" s="76"/>
      <c r="G34" s="76"/>
      <c r="H34" s="76"/>
      <c r="I34" s="76"/>
    </row>
    <row r="35" spans="1:9" ht="15.75" thickBot="1">
      <c r="A35" s="75"/>
      <c r="B35" s="75"/>
      <c r="C35" s="75"/>
      <c r="D35" s="75"/>
      <c r="E35" s="75"/>
      <c r="F35" s="75"/>
      <c r="G35" s="76"/>
      <c r="H35" s="76"/>
      <c r="I35" s="76"/>
    </row>
    <row r="36" spans="1:9" ht="45.75" thickBot="1">
      <c r="A36" s="77" t="s">
        <v>674</v>
      </c>
      <c r="B36" s="99">
        <v>21</v>
      </c>
      <c r="C36" s="99">
        <v>33</v>
      </c>
      <c r="D36" s="99">
        <v>39</v>
      </c>
      <c r="E36" s="99">
        <v>42</v>
      </c>
      <c r="F36" s="99">
        <v>50</v>
      </c>
      <c r="G36" s="76"/>
      <c r="H36" s="76"/>
      <c r="I36" s="76"/>
    </row>
    <row r="37" spans="1:9" ht="30.75" thickBot="1">
      <c r="A37" s="93" t="s">
        <v>675</v>
      </c>
      <c r="B37" s="99" t="s">
        <v>676</v>
      </c>
      <c r="C37" s="99" t="s">
        <v>501</v>
      </c>
      <c r="D37" s="99" t="s">
        <v>677</v>
      </c>
      <c r="E37" s="99" t="s">
        <v>508</v>
      </c>
      <c r="F37" s="120" t="s">
        <v>678</v>
      </c>
      <c r="G37" s="76"/>
      <c r="H37" s="76"/>
      <c r="I37" s="76"/>
    </row>
    <row r="38" spans="1:9" ht="15.75" thickBot="1">
      <c r="A38" s="75"/>
      <c r="B38" s="75"/>
      <c r="C38" s="76"/>
      <c r="D38" s="76"/>
      <c r="E38" s="76"/>
      <c r="F38" s="76"/>
      <c r="G38" s="76"/>
      <c r="H38" s="76"/>
      <c r="I38" s="76"/>
    </row>
    <row r="39" spans="1:9" ht="30.75" thickBot="1">
      <c r="A39" s="77" t="s">
        <v>679</v>
      </c>
      <c r="B39" s="84">
        <v>40</v>
      </c>
      <c r="C39" s="76"/>
      <c r="D39" s="76"/>
      <c r="E39" s="76"/>
      <c r="F39" s="76"/>
      <c r="G39" s="76"/>
      <c r="H39" s="76"/>
      <c r="I39" s="76"/>
    </row>
    <row r="40" spans="1:9" ht="15.75" thickBot="1">
      <c r="A40" s="83" t="s">
        <v>499</v>
      </c>
      <c r="B40" s="84" t="str">
        <f>HLOOKUP(B39,A36:F37,2,TRUE)</f>
        <v>Mumbai</v>
      </c>
      <c r="C40" s="76"/>
      <c r="D40" s="76"/>
      <c r="E40" s="76"/>
      <c r="F40" s="76"/>
      <c r="G40" s="76"/>
      <c r="H40" s="76"/>
      <c r="I40" s="76"/>
    </row>
    <row r="41" spans="1:9" ht="15.75" thickBot="1">
      <c r="A41" s="75"/>
      <c r="B41" s="75"/>
      <c r="C41" s="75"/>
      <c r="D41" s="75"/>
      <c r="E41" s="75"/>
      <c r="F41" s="75"/>
      <c r="G41" s="75"/>
      <c r="H41" s="76"/>
      <c r="I41" s="76"/>
    </row>
    <row r="42" spans="1:9" ht="30.75" thickBot="1">
      <c r="A42" s="77" t="s">
        <v>680</v>
      </c>
      <c r="B42" s="84" t="s">
        <v>681</v>
      </c>
      <c r="C42" s="84" t="s">
        <v>682</v>
      </c>
      <c r="D42" s="84" t="s">
        <v>683</v>
      </c>
      <c r="E42" s="84" t="s">
        <v>684</v>
      </c>
      <c r="F42" s="84" t="s">
        <v>327</v>
      </c>
      <c r="G42" s="84" t="s">
        <v>685</v>
      </c>
      <c r="H42" s="76"/>
      <c r="I42" s="76"/>
    </row>
    <row r="43" spans="1:9" ht="15.75" thickBot="1">
      <c r="A43" s="77" t="s">
        <v>262</v>
      </c>
      <c r="B43" s="84">
        <v>200</v>
      </c>
      <c r="C43" s="84">
        <v>125</v>
      </c>
      <c r="D43" s="84">
        <v>320</v>
      </c>
      <c r="E43" s="84">
        <v>250</v>
      </c>
      <c r="F43" s="84">
        <v>300</v>
      </c>
      <c r="G43" s="84">
        <v>421</v>
      </c>
      <c r="H43" s="76"/>
      <c r="I43" s="76"/>
    </row>
    <row r="44" spans="1:9" ht="15.75" thickBot="1">
      <c r="A44" s="75"/>
      <c r="B44" s="75"/>
      <c r="C44" s="76"/>
      <c r="D44" s="76"/>
      <c r="E44" s="76"/>
      <c r="F44" s="76"/>
      <c r="G44" s="76"/>
      <c r="H44" s="76"/>
      <c r="I44" s="76"/>
    </row>
    <row r="45" spans="1:9" ht="30.75" thickBot="1">
      <c r="A45" s="77" t="s">
        <v>680</v>
      </c>
      <c r="B45" s="84" t="s">
        <v>685</v>
      </c>
      <c r="C45" s="76"/>
      <c r="D45" s="76"/>
      <c r="E45" s="76"/>
      <c r="F45" s="76"/>
      <c r="G45" s="76"/>
      <c r="H45" s="76"/>
      <c r="I45" s="76"/>
    </row>
    <row r="46" spans="1:9" ht="15.75" thickBot="1">
      <c r="A46" s="83" t="s">
        <v>262</v>
      </c>
      <c r="B46" s="84">
        <f>HLOOKUP(B45,A42:G43,2,0)</f>
        <v>421</v>
      </c>
      <c r="C46" s="76"/>
      <c r="D46" s="76"/>
      <c r="E46" s="76"/>
      <c r="F46" s="76"/>
      <c r="G46" s="76"/>
      <c r="H46" s="76"/>
      <c r="I46" s="76"/>
    </row>
  </sheetData>
  <mergeCells count="4">
    <mergeCell ref="A1:I1"/>
    <mergeCell ref="A2:I2"/>
    <mergeCell ref="A17:B17"/>
    <mergeCell ref="A24:B2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1EDF5-6778-44F5-B4F8-846B73FDA4C8}">
  <dimension ref="A1:L28"/>
  <sheetViews>
    <sheetView topLeftCell="A14" workbookViewId="0">
      <selection activeCell="L17" sqref="L17"/>
    </sheetView>
  </sheetViews>
  <sheetFormatPr defaultRowHeight="15"/>
  <cols>
    <col min="1" max="1" width="12.7109375" customWidth="1"/>
    <col min="2" max="2" width="13.42578125" customWidth="1"/>
    <col min="3" max="3" width="13.140625" customWidth="1"/>
    <col min="4" max="4" width="30.140625" customWidth="1"/>
  </cols>
  <sheetData>
    <row r="1" spans="1:10" ht="19.5" thickBot="1">
      <c r="A1" s="258" t="s">
        <v>686</v>
      </c>
      <c r="B1" s="259"/>
      <c r="C1" s="259"/>
      <c r="D1" s="259"/>
      <c r="E1" s="259"/>
      <c r="F1" s="260"/>
      <c r="G1" s="76"/>
      <c r="H1" s="76"/>
      <c r="I1" s="76"/>
      <c r="J1" s="76"/>
    </row>
    <row r="2" spans="1:10" ht="15.75" thickBot="1">
      <c r="A2" s="261" t="s">
        <v>687</v>
      </c>
      <c r="B2" s="262"/>
      <c r="C2" s="262"/>
      <c r="D2" s="262"/>
      <c r="E2" s="262"/>
      <c r="F2" s="263"/>
      <c r="G2" s="76"/>
      <c r="H2" s="76"/>
      <c r="I2" s="76"/>
      <c r="J2" s="76"/>
    </row>
    <row r="3" spans="1:10" ht="15.75" thickBot="1">
      <c r="A3" s="75"/>
      <c r="B3" s="75"/>
      <c r="C3" s="75"/>
      <c r="D3" s="76"/>
      <c r="E3" s="76"/>
      <c r="F3" s="76"/>
      <c r="G3" s="76"/>
      <c r="H3" s="76"/>
      <c r="I3" s="76"/>
      <c r="J3" s="76"/>
    </row>
    <row r="4" spans="1:10" ht="39" thickBot="1">
      <c r="A4" s="121" t="s">
        <v>311</v>
      </c>
      <c r="B4" s="122" t="s">
        <v>688</v>
      </c>
      <c r="C4" s="122" t="s">
        <v>689</v>
      </c>
      <c r="D4" s="76"/>
      <c r="E4" s="278" t="s">
        <v>690</v>
      </c>
      <c r="F4" s="279"/>
      <c r="G4" s="76"/>
      <c r="H4" s="76"/>
      <c r="I4" s="76"/>
      <c r="J4" s="76"/>
    </row>
    <row r="5" spans="1:10" ht="90" customHeight="1" thickBot="1">
      <c r="A5" s="123" t="s">
        <v>691</v>
      </c>
      <c r="B5" s="99">
        <v>92</v>
      </c>
      <c r="C5" s="99" t="str">
        <f>IF(B5&gt;=90,"A+",IF(B5&gt;=85,"A",IF(B5&gt;=80,"B+",IF(B5&gt;=75,"B",IF(B5&gt;=70,"C+",IF(B5&gt;=65,"C",IF(B5&gt;=60,"D+",IF(B5&gt;=50,"D",IF(B5&lt;50,"F")))))))))</f>
        <v>A+</v>
      </c>
      <c r="D5" s="79" t="str">
        <f>IF(B5&gt;=90,"A+",IF(B5&gt;=85,"A",IF(B5&gt;=80,"B+",IF(B5&gt;=75,"B",IF(B5&gt;=70,"C+",IF(B5&gt;=65,"C",IF(B5&gt;=60,"D+",IF(B5&gt;=50,"D","F"))))))))</f>
        <v>A+</v>
      </c>
      <c r="E5" s="124" t="s">
        <v>693</v>
      </c>
      <c r="F5" s="124" t="s">
        <v>692</v>
      </c>
      <c r="G5" s="76"/>
      <c r="H5" s="76"/>
      <c r="I5" s="76"/>
      <c r="J5" s="76"/>
    </row>
    <row r="6" spans="1:10" ht="98.25" customHeight="1" thickBot="1">
      <c r="A6" s="123" t="s">
        <v>694</v>
      </c>
      <c r="B6" s="99">
        <v>88</v>
      </c>
      <c r="C6" s="99" t="str">
        <f>IF(B6&gt;=90,"A+",IF(B6&gt;=85,"A",IF(B6&gt;=80,"B+",IF(B6&gt;=75,"B",IF(B6&gt;=70,"C+",IF(B6&gt;=65,"C",IF(B6&gt;=60,"D+",IF(B6&gt;=50,"D",IF(B6&lt;50,"F")))))))))</f>
        <v>A</v>
      </c>
      <c r="D6" s="79" t="str">
        <f t="shared" ref="D6:D13" si="0">IF(B6&gt;=90,"A+",IF(B6&gt;=85,"A",IF(B6&gt;=80,"B+",IF(B6&gt;=75,"B",IF(B6&gt;=70,"C+",IF(B6&gt;=65,"C",IF(B6&gt;=60,"D+",IF(B6&gt;=50,"D","F"))))))))</f>
        <v>A</v>
      </c>
      <c r="E6" s="124" t="s">
        <v>695</v>
      </c>
      <c r="F6" s="124" t="s">
        <v>481</v>
      </c>
      <c r="G6" s="76"/>
      <c r="H6" s="76"/>
      <c r="I6" s="76"/>
      <c r="J6" s="76"/>
    </row>
    <row r="7" spans="1:10" ht="102.75" customHeight="1" thickBot="1">
      <c r="A7" s="123" t="s">
        <v>696</v>
      </c>
      <c r="B7" s="99">
        <v>94</v>
      </c>
      <c r="C7" s="99" t="str">
        <f>IF(B7&gt;=90,"A+",IF(B7&gt;=85,"A",IF(B7&gt;=80,"B+",IF(B7&gt;=75,"B",IF(B7&gt;=70,"C+",IF(B7&gt;=65,"C",IF(B7&gt;=60,"D+",IF(B7&gt;=50,"D",IF(B7&lt;50,"F")))))))))</f>
        <v>A+</v>
      </c>
      <c r="D7" s="79" t="str">
        <f t="shared" si="0"/>
        <v>A+</v>
      </c>
      <c r="E7" s="124" t="s">
        <v>697</v>
      </c>
      <c r="F7" s="124" t="s">
        <v>698</v>
      </c>
      <c r="G7" s="76"/>
      <c r="H7" s="76"/>
      <c r="I7" s="76"/>
      <c r="J7" s="76"/>
    </row>
    <row r="8" spans="1:10" ht="30.75" thickBot="1">
      <c r="A8" s="123" t="s">
        <v>699</v>
      </c>
      <c r="B8" s="99">
        <v>84</v>
      </c>
      <c r="C8" s="99" t="str">
        <f>IF(B8&gt;=90,"A+",IF(B8&gt;=85,"A",IF(B8&gt;=80,"B+",IF(B8&gt;=75,"B",IF(B8&gt;=70,"C+",IF(B8&gt;=65,"C",IF(B8&gt;=60,"D+",IF(B8&gt;=50,"D","F"))))))))</f>
        <v>B+</v>
      </c>
      <c r="D8" s="79" t="str">
        <f t="shared" si="0"/>
        <v>B+</v>
      </c>
      <c r="E8" s="124" t="s">
        <v>700</v>
      </c>
      <c r="F8" s="124" t="s">
        <v>701</v>
      </c>
      <c r="G8" s="76"/>
      <c r="H8" s="76"/>
      <c r="I8" s="76"/>
      <c r="J8" s="76"/>
    </row>
    <row r="9" spans="1:10" ht="30" customHeight="1" thickBot="1">
      <c r="A9" s="123" t="s">
        <v>702</v>
      </c>
      <c r="B9" s="99">
        <v>95</v>
      </c>
      <c r="C9" s="99" t="str">
        <f>IF(B9&gt;=90,"A+",IF(B9&gt;=85,"A",IF(B9&gt;=80,"B+",IF(B9&gt;=75,"B",IF(B9&gt;=70,"C+",IF(B9&gt;=65,"C",IF(B9&gt;=60,"D+",IF(B9&gt;=50,"D","F"))))))))</f>
        <v>A+</v>
      </c>
      <c r="D9" s="79" t="str">
        <f t="shared" si="0"/>
        <v>A+</v>
      </c>
      <c r="E9" s="124" t="s">
        <v>703</v>
      </c>
      <c r="F9" s="124" t="s">
        <v>704</v>
      </c>
      <c r="G9" s="76"/>
      <c r="H9" s="76"/>
      <c r="I9" s="76"/>
      <c r="J9" s="76"/>
    </row>
    <row r="10" spans="1:10" ht="39" customHeight="1" thickBot="1">
      <c r="A10" s="123" t="s">
        <v>705</v>
      </c>
      <c r="B10" s="99">
        <v>78</v>
      </c>
      <c r="C10" s="99" t="str">
        <f>IF(B10&gt;90,"A+",IF(B10&gt;85,"A",IF(B10&gt;80,"B+",IF(B10&gt;75,"B",IF(B10&gt;70,"C+",IF(B10&gt;65,"C",IF(B10&gt;60,"D+",IF(B10&gt;50,"D","F"))))))))</f>
        <v>B</v>
      </c>
      <c r="D10" s="79" t="str">
        <f t="shared" si="0"/>
        <v>B</v>
      </c>
      <c r="E10" s="124" t="s">
        <v>706</v>
      </c>
      <c r="F10" s="124" t="s">
        <v>490</v>
      </c>
      <c r="G10" s="76"/>
      <c r="H10" s="76"/>
      <c r="I10" s="76"/>
      <c r="J10" s="76"/>
    </row>
    <row r="11" spans="1:10" ht="30.75" thickBot="1">
      <c r="A11" s="123" t="s">
        <v>707</v>
      </c>
      <c r="B11" s="99">
        <v>59</v>
      </c>
      <c r="C11" s="99" t="str">
        <f>IF(B11&gt;=90,"A+",IF(B11&gt;=85,"A",IF(B11&gt;=80,"B+",IF(B11&gt;=75,"B+",IF(B11&gt;=70,"C+",IF(B11&gt;=65,"C",IF(B11&gt;=60,"D+",IF(B11&gt;=50,"D","F"))))))))</f>
        <v>D</v>
      </c>
      <c r="D11" s="79" t="str">
        <f t="shared" si="0"/>
        <v>D</v>
      </c>
      <c r="E11" s="124" t="s">
        <v>708</v>
      </c>
      <c r="F11" s="124" t="s">
        <v>709</v>
      </c>
      <c r="G11" s="76"/>
      <c r="H11" s="76"/>
      <c r="I11" s="76"/>
      <c r="J11" s="76"/>
    </row>
    <row r="12" spans="1:10" ht="30.75" thickBot="1">
      <c r="A12" s="123" t="s">
        <v>710</v>
      </c>
      <c r="B12" s="99">
        <v>43</v>
      </c>
      <c r="C12" s="99" t="b">
        <f>IF(B12&gt;=90,"A+",IF(B12&gt;=85,"A",IF(B12&gt;=80,"B+",IF(B12&gt;=75,"B",IF(B12&gt;=70,"C+",IF(B12&gt;=65,"C",IF(B12&gt;=60,"D+",IF(B12&gt;="D","F"))))))))</f>
        <v>0</v>
      </c>
      <c r="D12" s="79" t="str">
        <f t="shared" si="0"/>
        <v>F</v>
      </c>
      <c r="E12" s="124" t="s">
        <v>711</v>
      </c>
      <c r="F12" s="124" t="s">
        <v>483</v>
      </c>
      <c r="G12" s="76"/>
      <c r="H12" s="76"/>
      <c r="I12" s="76"/>
      <c r="J12" s="76"/>
    </row>
    <row r="13" spans="1:10" ht="30.75" thickBot="1">
      <c r="A13" s="123" t="s">
        <v>712</v>
      </c>
      <c r="B13" s="99">
        <v>90</v>
      </c>
      <c r="C13" s="99" t="str">
        <f>IF(B13&gt;=90,"A+",IF(B13&gt;=85,"A",IF(B13&gt;=80,"B+",IF(B13&gt;=75,"B",IF(B13&gt;=70,"C+",IF(B13&gt;=65,"C",IF(B13&gt;=60,"D+",IF(B13&gt;="D","F"))))))))</f>
        <v>A+</v>
      </c>
      <c r="D13" s="79" t="str">
        <f t="shared" si="0"/>
        <v>A+</v>
      </c>
      <c r="E13" s="124" t="s">
        <v>713</v>
      </c>
      <c r="F13" s="124" t="s">
        <v>493</v>
      </c>
      <c r="G13" s="76"/>
      <c r="H13" s="76"/>
      <c r="I13" s="76"/>
      <c r="J13" s="76"/>
    </row>
    <row r="14" spans="1:10" ht="15.75" thickBot="1">
      <c r="A14" s="76"/>
      <c r="B14" s="76"/>
      <c r="C14" s="76"/>
      <c r="D14" s="76"/>
      <c r="E14" s="76"/>
      <c r="F14" s="76"/>
      <c r="G14" s="76"/>
      <c r="H14" s="76"/>
      <c r="I14" s="76"/>
      <c r="J14" s="76"/>
    </row>
    <row r="15" spans="1:10" ht="15.75" thickBot="1">
      <c r="A15" s="75"/>
      <c r="B15" s="75"/>
      <c r="C15" s="75"/>
      <c r="D15" s="76"/>
      <c r="E15" s="76"/>
      <c r="F15" s="76"/>
      <c r="G15" s="76"/>
      <c r="H15" s="76"/>
      <c r="I15" s="76"/>
      <c r="J15" s="76"/>
    </row>
    <row r="16" spans="1:10" ht="15.75" thickBot="1">
      <c r="A16" s="96" t="s">
        <v>714</v>
      </c>
      <c r="B16" s="97" t="s">
        <v>715</v>
      </c>
      <c r="C16" s="97" t="s">
        <v>411</v>
      </c>
      <c r="D16" s="76"/>
      <c r="E16" s="76"/>
      <c r="F16" s="76"/>
      <c r="G16" s="75"/>
      <c r="H16" s="75"/>
      <c r="I16" s="76"/>
      <c r="J16" s="76"/>
    </row>
    <row r="17" spans="1:12" ht="30.75" thickBot="1">
      <c r="A17" s="87">
        <v>1</v>
      </c>
      <c r="B17" s="84" t="s">
        <v>648</v>
      </c>
      <c r="C17" s="125">
        <v>777307</v>
      </c>
      <c r="D17" s="76"/>
      <c r="E17" s="76"/>
      <c r="F17" s="79"/>
      <c r="G17" s="126" t="s">
        <v>716</v>
      </c>
      <c r="H17" s="84">
        <v>3</v>
      </c>
      <c r="I17" s="76"/>
      <c r="J17" s="76"/>
      <c r="L17">
        <v>8</v>
      </c>
    </row>
    <row r="18" spans="1:12" ht="15.75" thickBot="1">
      <c r="A18" s="87">
        <v>2</v>
      </c>
      <c r="B18" s="84" t="s">
        <v>649</v>
      </c>
      <c r="C18" s="125">
        <v>590235</v>
      </c>
      <c r="D18" s="76"/>
      <c r="E18" s="76"/>
      <c r="F18" s="79"/>
      <c r="G18" s="126" t="s">
        <v>411</v>
      </c>
      <c r="H18" s="125">
        <v>585683</v>
      </c>
      <c r="I18" s="76"/>
      <c r="J18" s="76"/>
      <c r="L18">
        <f>VLOOKUP(L17,$A$16:$C$28,3,0)</f>
        <v>698558</v>
      </c>
    </row>
    <row r="19" spans="1:12" ht="15.75" thickBot="1">
      <c r="A19" s="87">
        <v>3</v>
      </c>
      <c r="B19" s="84" t="s">
        <v>285</v>
      </c>
      <c r="C19" s="125">
        <v>585683</v>
      </c>
      <c r="D19" s="76"/>
      <c r="E19" s="76"/>
      <c r="F19" s="76"/>
      <c r="G19" s="76"/>
      <c r="H19" s="127" t="s">
        <v>722</v>
      </c>
      <c r="I19" s="76"/>
      <c r="J19" s="76"/>
    </row>
    <row r="20" spans="1:12" ht="15.75" thickBot="1">
      <c r="A20" s="87">
        <v>4</v>
      </c>
      <c r="B20" s="84" t="s">
        <v>650</v>
      </c>
      <c r="C20" s="125">
        <v>740995</v>
      </c>
      <c r="D20" s="76"/>
      <c r="E20" s="76"/>
      <c r="F20" s="76"/>
      <c r="G20" s="76"/>
      <c r="H20" s="76"/>
      <c r="I20" s="76"/>
      <c r="J20" s="76"/>
    </row>
    <row r="21" spans="1:12" ht="15.75" thickBot="1">
      <c r="A21" s="87">
        <v>5</v>
      </c>
      <c r="B21" s="84" t="s">
        <v>269</v>
      </c>
      <c r="C21" s="125">
        <v>756502</v>
      </c>
      <c r="D21" s="76"/>
      <c r="E21" s="76"/>
      <c r="F21" s="76"/>
      <c r="G21" s="76"/>
      <c r="H21" s="76"/>
      <c r="I21" s="76"/>
      <c r="J21" s="76"/>
    </row>
    <row r="22" spans="1:12" ht="15.75" thickBot="1">
      <c r="A22" s="87">
        <v>6</v>
      </c>
      <c r="B22" s="84" t="s">
        <v>651</v>
      </c>
      <c r="C22" s="125">
        <v>626126</v>
      </c>
      <c r="D22" s="76"/>
      <c r="E22" s="76"/>
      <c r="F22" s="76"/>
      <c r="G22" s="76"/>
      <c r="H22" s="76"/>
      <c r="I22" s="76"/>
      <c r="J22" s="76"/>
    </row>
    <row r="23" spans="1:12" ht="15.75" thickBot="1">
      <c r="A23" s="87">
        <v>7</v>
      </c>
      <c r="B23" s="84" t="s">
        <v>286</v>
      </c>
      <c r="C23" s="125">
        <v>668352</v>
      </c>
      <c r="D23" s="76"/>
      <c r="E23" s="76"/>
      <c r="F23" s="76"/>
      <c r="G23" s="76"/>
      <c r="H23" s="76"/>
      <c r="I23" s="76"/>
      <c r="J23" s="76"/>
    </row>
    <row r="24" spans="1:12" ht="15.75" thickBot="1">
      <c r="A24" s="87">
        <v>8</v>
      </c>
      <c r="B24" s="84" t="s">
        <v>717</v>
      </c>
      <c r="C24" s="125">
        <v>698558</v>
      </c>
      <c r="D24" s="76"/>
      <c r="E24" s="76"/>
      <c r="F24" s="76"/>
      <c r="G24" s="76"/>
      <c r="H24" s="76"/>
      <c r="I24" s="76"/>
      <c r="J24" s="76"/>
    </row>
    <row r="25" spans="1:12" ht="15.75" thickBot="1">
      <c r="A25" s="87">
        <v>9</v>
      </c>
      <c r="B25" s="84" t="s">
        <v>718</v>
      </c>
      <c r="C25" s="125">
        <v>562835</v>
      </c>
      <c r="D25" s="76"/>
      <c r="E25" s="76"/>
      <c r="F25" s="76"/>
      <c r="G25" s="76"/>
      <c r="H25" s="76"/>
      <c r="I25" s="76"/>
      <c r="J25" s="76"/>
    </row>
    <row r="26" spans="1:12" ht="15.75" thickBot="1">
      <c r="A26" s="87">
        <v>10</v>
      </c>
      <c r="B26" s="84" t="s">
        <v>719</v>
      </c>
      <c r="C26" s="125">
        <v>564996</v>
      </c>
      <c r="D26" s="76"/>
      <c r="E26" s="76"/>
      <c r="F26" s="76"/>
      <c r="G26" s="76"/>
      <c r="H26" s="76"/>
      <c r="I26" s="76"/>
      <c r="J26" s="76"/>
    </row>
    <row r="27" spans="1:12" ht="15.75" thickBot="1">
      <c r="A27" s="87">
        <v>11</v>
      </c>
      <c r="B27" s="84" t="s">
        <v>720</v>
      </c>
      <c r="C27" s="125">
        <v>632549</v>
      </c>
      <c r="D27" s="76"/>
      <c r="E27" s="76"/>
      <c r="F27" s="76"/>
      <c r="G27" s="76"/>
      <c r="H27" s="76"/>
      <c r="I27" s="76"/>
      <c r="J27" s="76"/>
    </row>
    <row r="28" spans="1:12" ht="15.75" thickBot="1">
      <c r="A28" s="87">
        <v>12</v>
      </c>
      <c r="B28" s="84" t="s">
        <v>721</v>
      </c>
      <c r="C28" s="125">
        <v>702812</v>
      </c>
      <c r="D28" s="76"/>
      <c r="E28" s="76"/>
      <c r="F28" s="76"/>
      <c r="G28" s="76"/>
      <c r="H28" s="76"/>
      <c r="I28" s="76"/>
      <c r="J28" s="76"/>
    </row>
  </sheetData>
  <mergeCells count="3">
    <mergeCell ref="A1:F1"/>
    <mergeCell ref="A2:F2"/>
    <mergeCell ref="E4:F4"/>
  </mergeCells>
  <dataValidations count="1">
    <dataValidation type="list" allowBlank="1" showInputMessage="1" showErrorMessage="1" sqref="L17" xr:uid="{08531425-4120-459A-8E33-D457D787671F}">
      <formula1>$A$17:$A$28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3EAE-175F-4DB9-B76F-7F296AA6AAE5}">
  <dimension ref="A1:S48"/>
  <sheetViews>
    <sheetView workbookViewId="0">
      <selection activeCell="Q27" sqref="Q27"/>
    </sheetView>
  </sheetViews>
  <sheetFormatPr defaultRowHeight="15"/>
  <cols>
    <col min="17" max="17" width="11.85546875" customWidth="1"/>
  </cols>
  <sheetData>
    <row r="1" spans="1:19" ht="19.5" thickBot="1">
      <c r="A1" s="258" t="s">
        <v>723</v>
      </c>
      <c r="B1" s="259"/>
      <c r="C1" s="259"/>
      <c r="D1" s="259"/>
      <c r="E1" s="259"/>
      <c r="F1" s="259"/>
      <c r="G1" s="259"/>
      <c r="H1" s="259"/>
      <c r="I1" s="260"/>
    </row>
    <row r="2" spans="1:19" ht="15.75" thickBot="1">
      <c r="A2" s="261" t="s">
        <v>724</v>
      </c>
      <c r="B2" s="262"/>
      <c r="C2" s="262"/>
      <c r="D2" s="262"/>
      <c r="E2" s="262"/>
      <c r="F2" s="262"/>
      <c r="G2" s="262"/>
      <c r="H2" s="262"/>
      <c r="I2" s="263"/>
    </row>
    <row r="3" spans="1:19" ht="15.75" thickBot="1">
      <c r="A3" s="75"/>
      <c r="B3" s="75"/>
      <c r="C3" s="76"/>
      <c r="D3" s="76"/>
      <c r="E3" s="75"/>
      <c r="F3" s="75"/>
      <c r="G3" s="76"/>
      <c r="H3" s="75"/>
      <c r="I3" s="75"/>
    </row>
    <row r="4" spans="1:19" ht="15.75" thickBot="1">
      <c r="A4" s="280" t="s">
        <v>725</v>
      </c>
      <c r="B4" s="281"/>
      <c r="C4" s="104"/>
      <c r="D4" s="128"/>
      <c r="E4" s="280" t="s">
        <v>726</v>
      </c>
      <c r="F4" s="281"/>
      <c r="G4" s="128"/>
      <c r="H4" s="280" t="s">
        <v>727</v>
      </c>
      <c r="I4" s="281"/>
      <c r="K4" s="134"/>
      <c r="L4" s="134"/>
      <c r="M4" s="135" t="s">
        <v>520</v>
      </c>
      <c r="N4" s="134"/>
    </row>
    <row r="5" spans="1:19" ht="26.25" thickBot="1">
      <c r="A5" s="129" t="s">
        <v>413</v>
      </c>
      <c r="B5" s="130" t="s">
        <v>410</v>
      </c>
      <c r="C5" s="104"/>
      <c r="D5" s="128"/>
      <c r="E5" s="130" t="s">
        <v>413</v>
      </c>
      <c r="F5" s="130" t="s">
        <v>728</v>
      </c>
      <c r="G5" s="128"/>
      <c r="H5" s="130" t="s">
        <v>413</v>
      </c>
      <c r="I5" s="130" t="s">
        <v>411</v>
      </c>
      <c r="K5" s="129" t="s">
        <v>413</v>
      </c>
      <c r="L5" s="130" t="s">
        <v>410</v>
      </c>
      <c r="M5" s="130" t="s">
        <v>412</v>
      </c>
      <c r="N5" s="130" t="s">
        <v>411</v>
      </c>
      <c r="P5" s="241" t="s">
        <v>1018</v>
      </c>
      <c r="Q5" s="241" t="s">
        <v>1022</v>
      </c>
      <c r="R5" s="241" t="s">
        <v>1023</v>
      </c>
      <c r="S5" s="241" t="s">
        <v>1024</v>
      </c>
    </row>
    <row r="6" spans="1:19" ht="15.75" thickBot="1">
      <c r="A6" s="131" t="s">
        <v>415</v>
      </c>
      <c r="B6" s="132" t="s">
        <v>414</v>
      </c>
      <c r="C6" s="104"/>
      <c r="D6" s="128"/>
      <c r="E6" s="132" t="s">
        <v>415</v>
      </c>
      <c r="F6" s="132" t="s">
        <v>262</v>
      </c>
      <c r="G6" s="128"/>
      <c r="H6" s="132" t="s">
        <v>415</v>
      </c>
      <c r="I6" s="133">
        <v>92671</v>
      </c>
      <c r="K6" s="131" t="s">
        <v>415</v>
      </c>
      <c r="L6" s="132" t="str">
        <f>VLOOKUP(K6,$A$5:$B$25,2,0)</f>
        <v>Raju</v>
      </c>
      <c r="M6" s="132" t="str">
        <f>VLOOKUP(K6,$E$5:$F$25,2,0)</f>
        <v>Sales</v>
      </c>
      <c r="N6" s="133">
        <f>VLOOKUP(K6,$H$5:$I$25,2,0)</f>
        <v>92671</v>
      </c>
      <c r="P6" s="131" t="s">
        <v>415</v>
      </c>
      <c r="Q6" s="2" t="str">
        <f>VLOOKUP(P6,A5:B25,2,0)</f>
        <v>Raju</v>
      </c>
      <c r="R6" s="2" t="str">
        <f>VLOOKUP(P6,$E$5:F25,2,0)</f>
        <v>Sales</v>
      </c>
      <c r="S6" s="2">
        <f>VLOOKUP(P6,$H$5:$I$25,2,0)</f>
        <v>92671</v>
      </c>
    </row>
    <row r="7" spans="1:19" ht="26.25" thickBot="1">
      <c r="A7" s="131" t="s">
        <v>418</v>
      </c>
      <c r="B7" s="132" t="s">
        <v>416</v>
      </c>
      <c r="C7" s="104"/>
      <c r="D7" s="128"/>
      <c r="E7" s="132" t="s">
        <v>418</v>
      </c>
      <c r="F7" s="132" t="s">
        <v>417</v>
      </c>
      <c r="G7" s="128"/>
      <c r="H7" s="132" t="s">
        <v>418</v>
      </c>
      <c r="I7" s="133">
        <v>84120</v>
      </c>
      <c r="K7" s="131" t="s">
        <v>418</v>
      </c>
      <c r="L7" s="132" t="str">
        <f t="shared" ref="L7:L25" si="0">VLOOKUP(K7,$A$5:$B$25,2,0)</f>
        <v>Ramesh</v>
      </c>
      <c r="M7" s="132" t="str">
        <f t="shared" ref="M7:M25" si="1">VLOOKUP(K7,$E$5:$F$25,2,0)</f>
        <v>Operations</v>
      </c>
      <c r="N7" s="133">
        <f t="shared" ref="N7:N25" si="2">VLOOKUP(K7,$H$5:$I$25,2,0)</f>
        <v>84120</v>
      </c>
      <c r="P7" s="131" t="s">
        <v>418</v>
      </c>
      <c r="Q7" s="2" t="str">
        <f t="shared" ref="Q7:Q25" si="3">VLOOKUP(P7,A6:B26,2,0)</f>
        <v>Ramesh</v>
      </c>
      <c r="R7" s="2" t="str">
        <f>VLOOKUP(P7,$E$5:F26,2,0)</f>
        <v>Operations</v>
      </c>
      <c r="S7" s="2">
        <f t="shared" ref="S7:S25" si="4">VLOOKUP(P7,$H$5:$I$25,2,0)</f>
        <v>84120</v>
      </c>
    </row>
    <row r="8" spans="1:19" ht="15.75" thickBot="1">
      <c r="A8" s="131" t="s">
        <v>421</v>
      </c>
      <c r="B8" s="132" t="s">
        <v>419</v>
      </c>
      <c r="C8" s="104"/>
      <c r="D8" s="128"/>
      <c r="E8" s="132" t="s">
        <v>421</v>
      </c>
      <c r="F8" s="132" t="s">
        <v>420</v>
      </c>
      <c r="G8" s="128"/>
      <c r="H8" s="132" t="s">
        <v>421</v>
      </c>
      <c r="I8" s="133">
        <v>50793</v>
      </c>
      <c r="K8" s="131" t="s">
        <v>421</v>
      </c>
      <c r="L8" s="132" t="str">
        <f t="shared" si="0"/>
        <v>Ramila</v>
      </c>
      <c r="M8" s="132" t="str">
        <f t="shared" si="1"/>
        <v>Marketing</v>
      </c>
      <c r="N8" s="133">
        <f t="shared" si="2"/>
        <v>50793</v>
      </c>
      <c r="P8" s="131" t="s">
        <v>421</v>
      </c>
      <c r="Q8" s="2" t="str">
        <f t="shared" si="3"/>
        <v>Ramila</v>
      </c>
      <c r="R8" s="2" t="str">
        <f>VLOOKUP(P8,$E$5:F27,2,0)</f>
        <v>Marketing</v>
      </c>
      <c r="S8" s="2">
        <f t="shared" si="4"/>
        <v>50793</v>
      </c>
    </row>
    <row r="9" spans="1:19" ht="26.25" thickBot="1">
      <c r="A9" s="131" t="s">
        <v>424</v>
      </c>
      <c r="B9" s="132" t="s">
        <v>422</v>
      </c>
      <c r="C9" s="104"/>
      <c r="D9" s="128"/>
      <c r="E9" s="132" t="s">
        <v>441</v>
      </c>
      <c r="F9" s="132" t="s">
        <v>420</v>
      </c>
      <c r="G9" s="128"/>
      <c r="H9" s="132" t="s">
        <v>424</v>
      </c>
      <c r="I9" s="133">
        <v>77833</v>
      </c>
      <c r="K9" s="131" t="s">
        <v>424</v>
      </c>
      <c r="L9" s="132" t="str">
        <f t="shared" si="0"/>
        <v>Rajeshwari</v>
      </c>
      <c r="M9" s="132" t="str">
        <f t="shared" si="1"/>
        <v>HR</v>
      </c>
      <c r="N9" s="133">
        <f t="shared" si="2"/>
        <v>77833</v>
      </c>
      <c r="P9" s="131" t="s">
        <v>424</v>
      </c>
      <c r="Q9" s="2" t="str">
        <f t="shared" si="3"/>
        <v>Rajeshwari</v>
      </c>
      <c r="R9" s="2" t="str">
        <f>VLOOKUP(P9,$E$5:F28,2,0)</f>
        <v>HR</v>
      </c>
      <c r="S9" s="2">
        <f t="shared" si="4"/>
        <v>77833</v>
      </c>
    </row>
    <row r="10" spans="1:19" ht="15.75" thickBot="1">
      <c r="A10" s="131" t="s">
        <v>426</v>
      </c>
      <c r="B10" s="132" t="s">
        <v>425</v>
      </c>
      <c r="C10" s="104"/>
      <c r="D10" s="128"/>
      <c r="E10" s="132" t="s">
        <v>442</v>
      </c>
      <c r="F10" s="132" t="s">
        <v>262</v>
      </c>
      <c r="G10" s="128"/>
      <c r="H10" s="132" t="s">
        <v>426</v>
      </c>
      <c r="I10" s="133">
        <v>58914</v>
      </c>
      <c r="K10" s="131" t="s">
        <v>426</v>
      </c>
      <c r="L10" s="132" t="str">
        <f t="shared" si="0"/>
        <v>Karan</v>
      </c>
      <c r="M10" s="132" t="str">
        <f t="shared" si="1"/>
        <v>Finance</v>
      </c>
      <c r="N10" s="133">
        <f t="shared" si="2"/>
        <v>58914</v>
      </c>
      <c r="P10" s="131" t="s">
        <v>426</v>
      </c>
      <c r="Q10" s="2" t="str">
        <f t="shared" si="3"/>
        <v>Karan</v>
      </c>
      <c r="R10" s="2" t="str">
        <f>VLOOKUP(P10,$E$5:F29,2,0)</f>
        <v>Finance</v>
      </c>
      <c r="S10" s="2">
        <f t="shared" si="4"/>
        <v>58914</v>
      </c>
    </row>
    <row r="11" spans="1:19" ht="15.75" thickBot="1">
      <c r="A11" s="131" t="s">
        <v>428</v>
      </c>
      <c r="B11" s="132" t="s">
        <v>427</v>
      </c>
      <c r="C11" s="104"/>
      <c r="D11" s="128"/>
      <c r="E11" s="132" t="s">
        <v>444</v>
      </c>
      <c r="F11" s="132" t="s">
        <v>251</v>
      </c>
      <c r="G11" s="128"/>
      <c r="H11" s="132" t="s">
        <v>428</v>
      </c>
      <c r="I11" s="133">
        <v>51096</v>
      </c>
      <c r="K11" s="131" t="s">
        <v>428</v>
      </c>
      <c r="L11" s="132" t="str">
        <f t="shared" si="0"/>
        <v>Rohith</v>
      </c>
      <c r="M11" s="132" t="str">
        <f t="shared" si="1"/>
        <v>IT</v>
      </c>
      <c r="N11" s="133">
        <f t="shared" si="2"/>
        <v>51096</v>
      </c>
      <c r="P11" s="131" t="s">
        <v>428</v>
      </c>
      <c r="Q11" s="2" t="str">
        <f t="shared" si="3"/>
        <v>Rohith</v>
      </c>
      <c r="R11" s="2" t="str">
        <f>VLOOKUP(P11,$E$5:F30,2,0)</f>
        <v>IT</v>
      </c>
      <c r="S11" s="2">
        <f t="shared" si="4"/>
        <v>51096</v>
      </c>
    </row>
    <row r="12" spans="1:19" ht="26.25" thickBot="1">
      <c r="A12" s="131" t="s">
        <v>430</v>
      </c>
      <c r="B12" s="132" t="s">
        <v>429</v>
      </c>
      <c r="C12" s="104"/>
      <c r="D12" s="128"/>
      <c r="E12" s="132" t="s">
        <v>446</v>
      </c>
      <c r="F12" s="132" t="s">
        <v>417</v>
      </c>
      <c r="G12" s="128"/>
      <c r="H12" s="132" t="s">
        <v>444</v>
      </c>
      <c r="I12" s="133">
        <v>88965</v>
      </c>
      <c r="K12" s="131" t="s">
        <v>430</v>
      </c>
      <c r="L12" s="132" t="str">
        <f t="shared" si="0"/>
        <v>Jacob</v>
      </c>
      <c r="M12" s="132" t="str">
        <f t="shared" si="1"/>
        <v>Marketing</v>
      </c>
      <c r="N12" s="133">
        <f t="shared" si="2"/>
        <v>83735</v>
      </c>
      <c r="P12" s="131" t="s">
        <v>430</v>
      </c>
      <c r="Q12" s="2" t="str">
        <f t="shared" si="3"/>
        <v>Jacob</v>
      </c>
      <c r="R12" s="2" t="str">
        <f>VLOOKUP(P12,$E$5:F31,2,0)</f>
        <v>Marketing</v>
      </c>
      <c r="S12" s="2">
        <f t="shared" si="4"/>
        <v>83735</v>
      </c>
    </row>
    <row r="13" spans="1:19" ht="15.75" thickBot="1">
      <c r="A13" s="131" t="s">
        <v>432</v>
      </c>
      <c r="B13" s="132" t="s">
        <v>431</v>
      </c>
      <c r="C13" s="104"/>
      <c r="D13" s="128"/>
      <c r="E13" s="132" t="s">
        <v>448</v>
      </c>
      <c r="F13" s="132" t="s">
        <v>262</v>
      </c>
      <c r="G13" s="128"/>
      <c r="H13" s="132" t="s">
        <v>446</v>
      </c>
      <c r="I13" s="133">
        <v>63288</v>
      </c>
      <c r="K13" s="131" t="s">
        <v>432</v>
      </c>
      <c r="L13" s="132" t="str">
        <f t="shared" si="0"/>
        <v>Fleming</v>
      </c>
      <c r="M13" s="132" t="str">
        <f t="shared" si="1"/>
        <v>IT</v>
      </c>
      <c r="N13" s="133">
        <f t="shared" si="2"/>
        <v>74418</v>
      </c>
      <c r="P13" s="131" t="s">
        <v>432</v>
      </c>
      <c r="Q13" s="2" t="str">
        <f t="shared" si="3"/>
        <v>Fleming</v>
      </c>
      <c r="R13" s="2" t="str">
        <f>VLOOKUP(P13,$E$5:F32,2,0)</f>
        <v>IT</v>
      </c>
      <c r="S13" s="2">
        <f t="shared" si="4"/>
        <v>74418</v>
      </c>
    </row>
    <row r="14" spans="1:19" ht="15.75" thickBot="1">
      <c r="A14" s="131" t="s">
        <v>434</v>
      </c>
      <c r="B14" s="132" t="s">
        <v>433</v>
      </c>
      <c r="C14" s="104"/>
      <c r="D14" s="128"/>
      <c r="E14" s="132" t="s">
        <v>453</v>
      </c>
      <c r="F14" s="132" t="s">
        <v>262</v>
      </c>
      <c r="G14" s="128"/>
      <c r="H14" s="132" t="s">
        <v>448</v>
      </c>
      <c r="I14" s="133">
        <v>45742</v>
      </c>
      <c r="K14" s="131" t="s">
        <v>434</v>
      </c>
      <c r="L14" s="132" t="str">
        <f t="shared" si="0"/>
        <v>Navya</v>
      </c>
      <c r="M14" s="132" t="str">
        <f t="shared" si="1"/>
        <v>Sales</v>
      </c>
      <c r="N14" s="133">
        <f t="shared" si="2"/>
        <v>51366</v>
      </c>
      <c r="P14" s="131" t="s">
        <v>434</v>
      </c>
      <c r="Q14" s="2" t="str">
        <f t="shared" si="3"/>
        <v>Navya</v>
      </c>
      <c r="R14" s="2" t="str">
        <f>VLOOKUP(P14,$E$5:F33,2,0)</f>
        <v>Sales</v>
      </c>
      <c r="S14" s="2">
        <f t="shared" si="4"/>
        <v>51366</v>
      </c>
    </row>
    <row r="15" spans="1:19" ht="15.75" thickBot="1">
      <c r="A15" s="131" t="s">
        <v>436</v>
      </c>
      <c r="B15" s="132" t="s">
        <v>435</v>
      </c>
      <c r="C15" s="104"/>
      <c r="D15" s="128"/>
      <c r="E15" s="132" t="s">
        <v>424</v>
      </c>
      <c r="F15" s="132" t="s">
        <v>423</v>
      </c>
      <c r="G15" s="128"/>
      <c r="H15" s="132" t="s">
        <v>449</v>
      </c>
      <c r="I15" s="133">
        <v>88354</v>
      </c>
      <c r="K15" s="131" t="s">
        <v>436</v>
      </c>
      <c r="L15" s="132" t="str">
        <f t="shared" si="0"/>
        <v>Kavya</v>
      </c>
      <c r="M15" s="132" t="str">
        <f t="shared" si="1"/>
        <v>Finance</v>
      </c>
      <c r="N15" s="133">
        <f t="shared" si="2"/>
        <v>54600</v>
      </c>
      <c r="P15" s="131" t="s">
        <v>436</v>
      </c>
      <c r="Q15" s="2" t="str">
        <f t="shared" si="3"/>
        <v>Kavya</v>
      </c>
      <c r="R15" s="2" t="str">
        <f>VLOOKUP(P15,$E$5:F34,2,0)</f>
        <v>Finance</v>
      </c>
      <c r="S15" s="2">
        <f t="shared" si="4"/>
        <v>54600</v>
      </c>
    </row>
    <row r="16" spans="1:19" ht="26.25" thickBot="1">
      <c r="A16" s="131" t="s">
        <v>438</v>
      </c>
      <c r="B16" s="132" t="s">
        <v>437</v>
      </c>
      <c r="C16" s="104"/>
      <c r="D16" s="128"/>
      <c r="E16" s="132" t="s">
        <v>426</v>
      </c>
      <c r="F16" s="132" t="s">
        <v>72</v>
      </c>
      <c r="G16" s="128"/>
      <c r="H16" s="132" t="s">
        <v>451</v>
      </c>
      <c r="I16" s="133">
        <v>76641</v>
      </c>
      <c r="K16" s="131" t="s">
        <v>438</v>
      </c>
      <c r="L16" s="132" t="str">
        <f t="shared" si="0"/>
        <v>Santosh</v>
      </c>
      <c r="M16" s="132" t="str">
        <f t="shared" si="1"/>
        <v>Operations</v>
      </c>
      <c r="N16" s="133">
        <f t="shared" si="2"/>
        <v>93509</v>
      </c>
      <c r="P16" s="131" t="s">
        <v>438</v>
      </c>
      <c r="Q16" s="2" t="str">
        <f t="shared" si="3"/>
        <v>Santosh</v>
      </c>
      <c r="R16" s="2" t="str">
        <f>VLOOKUP(P16,$E$5:F35,2,0)</f>
        <v>Operations</v>
      </c>
      <c r="S16" s="2">
        <f t="shared" si="4"/>
        <v>93509</v>
      </c>
    </row>
    <row r="17" spans="1:19" ht="15.75" thickBot="1">
      <c r="A17" s="131" t="s">
        <v>440</v>
      </c>
      <c r="B17" s="132" t="s">
        <v>439</v>
      </c>
      <c r="C17" s="104"/>
      <c r="D17" s="128"/>
      <c r="E17" s="132" t="s">
        <v>428</v>
      </c>
      <c r="F17" s="132" t="s">
        <v>251</v>
      </c>
      <c r="G17" s="128"/>
      <c r="H17" s="132" t="s">
        <v>453</v>
      </c>
      <c r="I17" s="133">
        <v>61678</v>
      </c>
      <c r="K17" s="131" t="s">
        <v>440</v>
      </c>
      <c r="L17" s="132" t="str">
        <f t="shared" si="0"/>
        <v>Shankar</v>
      </c>
      <c r="M17" s="132" t="str">
        <f t="shared" si="1"/>
        <v>Finance</v>
      </c>
      <c r="N17" s="133">
        <f t="shared" si="2"/>
        <v>80105</v>
      </c>
      <c r="P17" s="131" t="s">
        <v>440</v>
      </c>
      <c r="Q17" s="2" t="str">
        <f t="shared" si="3"/>
        <v>Shankar</v>
      </c>
      <c r="R17" s="2" t="str">
        <f>VLOOKUP(P17,$E$5:F36,2,0)</f>
        <v>Finance</v>
      </c>
      <c r="S17" s="2">
        <f t="shared" si="4"/>
        <v>80105</v>
      </c>
    </row>
    <row r="18" spans="1:19" ht="15.75" thickBot="1">
      <c r="A18" s="131" t="s">
        <v>441</v>
      </c>
      <c r="B18" s="132" t="s">
        <v>13</v>
      </c>
      <c r="C18" s="104"/>
      <c r="D18" s="128"/>
      <c r="E18" s="132" t="s">
        <v>449</v>
      </c>
      <c r="F18" s="132" t="s">
        <v>420</v>
      </c>
      <c r="G18" s="128"/>
      <c r="H18" s="132" t="s">
        <v>430</v>
      </c>
      <c r="I18" s="133">
        <v>83735</v>
      </c>
      <c r="K18" s="131" t="s">
        <v>441</v>
      </c>
      <c r="L18" s="132" t="str">
        <f t="shared" si="0"/>
        <v>Rajesh</v>
      </c>
      <c r="M18" s="132" t="str">
        <f t="shared" si="1"/>
        <v>Marketing</v>
      </c>
      <c r="N18" s="133">
        <f t="shared" si="2"/>
        <v>60802</v>
      </c>
      <c r="P18" s="131" t="s">
        <v>441</v>
      </c>
      <c r="Q18" s="2" t="str">
        <f t="shared" si="3"/>
        <v>Rajesh</v>
      </c>
      <c r="R18" s="2" t="str">
        <f>VLOOKUP(P18,$E$5:F37,2,0)</f>
        <v>Marketing</v>
      </c>
      <c r="S18" s="2">
        <f t="shared" si="4"/>
        <v>60802</v>
      </c>
    </row>
    <row r="19" spans="1:19" ht="15.75" thickBot="1">
      <c r="A19" s="131" t="s">
        <v>442</v>
      </c>
      <c r="B19" s="132" t="s">
        <v>16</v>
      </c>
      <c r="C19" s="104"/>
      <c r="D19" s="128"/>
      <c r="E19" s="132" t="s">
        <v>451</v>
      </c>
      <c r="F19" s="132" t="s">
        <v>420</v>
      </c>
      <c r="G19" s="128"/>
      <c r="H19" s="132" t="s">
        <v>432</v>
      </c>
      <c r="I19" s="133">
        <v>74418</v>
      </c>
      <c r="K19" s="131" t="s">
        <v>442</v>
      </c>
      <c r="L19" s="132" t="str">
        <f t="shared" si="0"/>
        <v>Mahesh</v>
      </c>
      <c r="M19" s="132" t="str">
        <f t="shared" si="1"/>
        <v>Sales</v>
      </c>
      <c r="N19" s="133">
        <f t="shared" si="2"/>
        <v>76260</v>
      </c>
      <c r="P19" s="131" t="s">
        <v>442</v>
      </c>
      <c r="Q19" s="2" t="str">
        <f t="shared" si="3"/>
        <v>Mahesh</v>
      </c>
      <c r="R19" s="2" t="str">
        <f>VLOOKUP(P19,$E$5:F38,2,0)</f>
        <v>Sales</v>
      </c>
      <c r="S19" s="2">
        <f t="shared" si="4"/>
        <v>76260</v>
      </c>
    </row>
    <row r="20" spans="1:19" ht="15.75" thickBot="1">
      <c r="A20" s="131" t="s">
        <v>444</v>
      </c>
      <c r="B20" s="132" t="s">
        <v>443</v>
      </c>
      <c r="C20" s="104"/>
      <c r="D20" s="128"/>
      <c r="E20" s="132" t="s">
        <v>430</v>
      </c>
      <c r="F20" s="132" t="s">
        <v>420</v>
      </c>
      <c r="G20" s="128"/>
      <c r="H20" s="132" t="s">
        <v>434</v>
      </c>
      <c r="I20" s="133">
        <v>51366</v>
      </c>
      <c r="K20" s="131" t="s">
        <v>444</v>
      </c>
      <c r="L20" s="132" t="str">
        <f t="shared" si="0"/>
        <v>Hemaraj</v>
      </c>
      <c r="M20" s="132" t="str">
        <f t="shared" si="1"/>
        <v>IT</v>
      </c>
      <c r="N20" s="133">
        <f t="shared" si="2"/>
        <v>88965</v>
      </c>
      <c r="P20" s="131" t="s">
        <v>444</v>
      </c>
      <c r="Q20" s="2" t="str">
        <f t="shared" si="3"/>
        <v>Hemaraj</v>
      </c>
      <c r="R20" s="2" t="str">
        <f>VLOOKUP(P20,$E$5:F39,2,0)</f>
        <v>IT</v>
      </c>
      <c r="S20" s="2">
        <f t="shared" si="4"/>
        <v>88965</v>
      </c>
    </row>
    <row r="21" spans="1:19" ht="26.25" thickBot="1">
      <c r="A21" s="131" t="s">
        <v>446</v>
      </c>
      <c r="B21" s="132" t="s">
        <v>445</v>
      </c>
      <c r="C21" s="104"/>
      <c r="D21" s="128"/>
      <c r="E21" s="132" t="s">
        <v>432</v>
      </c>
      <c r="F21" s="132" t="s">
        <v>251</v>
      </c>
      <c r="G21" s="128"/>
      <c r="H21" s="132" t="s">
        <v>436</v>
      </c>
      <c r="I21" s="133">
        <v>54600</v>
      </c>
      <c r="K21" s="131" t="s">
        <v>446</v>
      </c>
      <c r="L21" s="132" t="str">
        <f t="shared" si="0"/>
        <v>Nagaraj</v>
      </c>
      <c r="M21" s="132" t="str">
        <f t="shared" si="1"/>
        <v>Operations</v>
      </c>
      <c r="N21" s="133">
        <f t="shared" si="2"/>
        <v>63288</v>
      </c>
      <c r="P21" s="131" t="s">
        <v>446</v>
      </c>
      <c r="Q21" s="2" t="str">
        <f t="shared" si="3"/>
        <v>Nagaraj</v>
      </c>
      <c r="R21" s="2" t="str">
        <f>VLOOKUP(P21,$E$5:F40,2,0)</f>
        <v>Operations</v>
      </c>
      <c r="S21" s="2">
        <f t="shared" si="4"/>
        <v>63288</v>
      </c>
    </row>
    <row r="22" spans="1:19" ht="15.75" thickBot="1">
      <c r="A22" s="131" t="s">
        <v>448</v>
      </c>
      <c r="B22" s="132" t="s">
        <v>447</v>
      </c>
      <c r="C22" s="104"/>
      <c r="D22" s="128"/>
      <c r="E22" s="132" t="s">
        <v>434</v>
      </c>
      <c r="F22" s="132" t="s">
        <v>262</v>
      </c>
      <c r="G22" s="128"/>
      <c r="H22" s="132" t="s">
        <v>438</v>
      </c>
      <c r="I22" s="133">
        <v>93509</v>
      </c>
      <c r="K22" s="131" t="s">
        <v>448</v>
      </c>
      <c r="L22" s="132" t="str">
        <f t="shared" si="0"/>
        <v>Johson</v>
      </c>
      <c r="M22" s="132" t="str">
        <f t="shared" si="1"/>
        <v>Sales</v>
      </c>
      <c r="N22" s="133">
        <f t="shared" si="2"/>
        <v>45742</v>
      </c>
      <c r="P22" s="131" t="s">
        <v>448</v>
      </c>
      <c r="Q22" s="2" t="str">
        <f t="shared" si="3"/>
        <v>Johson</v>
      </c>
      <c r="R22" s="2" t="str">
        <f>VLOOKUP(P22,$E$5:F41,2,0)</f>
        <v>Sales</v>
      </c>
      <c r="S22" s="2">
        <f t="shared" si="4"/>
        <v>45742</v>
      </c>
    </row>
    <row r="23" spans="1:19" ht="15.75" thickBot="1">
      <c r="A23" s="131" t="s">
        <v>449</v>
      </c>
      <c r="B23" s="132" t="s">
        <v>331</v>
      </c>
      <c r="C23" s="104"/>
      <c r="D23" s="128"/>
      <c r="E23" s="132" t="s">
        <v>436</v>
      </c>
      <c r="F23" s="132" t="s">
        <v>72</v>
      </c>
      <c r="G23" s="128"/>
      <c r="H23" s="132" t="s">
        <v>440</v>
      </c>
      <c r="I23" s="133">
        <v>80105</v>
      </c>
      <c r="K23" s="131" t="s">
        <v>449</v>
      </c>
      <c r="L23" s="132" t="str">
        <f t="shared" si="0"/>
        <v>David</v>
      </c>
      <c r="M23" s="132" t="str">
        <f t="shared" si="1"/>
        <v>Marketing</v>
      </c>
      <c r="N23" s="133">
        <f t="shared" si="2"/>
        <v>88354</v>
      </c>
      <c r="P23" s="131" t="s">
        <v>449</v>
      </c>
      <c r="Q23" s="2" t="str">
        <f t="shared" si="3"/>
        <v>David</v>
      </c>
      <c r="R23" s="2" t="str">
        <f>VLOOKUP(P23,$E$5:F42,2,0)</f>
        <v>Marketing</v>
      </c>
      <c r="S23" s="2">
        <f t="shared" si="4"/>
        <v>88354</v>
      </c>
    </row>
    <row r="24" spans="1:19" ht="26.25" thickBot="1">
      <c r="A24" s="131" t="s">
        <v>451</v>
      </c>
      <c r="B24" s="132" t="s">
        <v>450</v>
      </c>
      <c r="C24" s="104"/>
      <c r="D24" s="128"/>
      <c r="E24" s="132" t="s">
        <v>438</v>
      </c>
      <c r="F24" s="132" t="s">
        <v>417</v>
      </c>
      <c r="G24" s="128"/>
      <c r="H24" s="132" t="s">
        <v>441</v>
      </c>
      <c r="I24" s="133">
        <v>60802</v>
      </c>
      <c r="K24" s="131" t="s">
        <v>451</v>
      </c>
      <c r="L24" s="132" t="str">
        <f t="shared" si="0"/>
        <v>Anderson</v>
      </c>
      <c r="M24" s="132" t="str">
        <f t="shared" si="1"/>
        <v>Marketing</v>
      </c>
      <c r="N24" s="133">
        <f t="shared" si="2"/>
        <v>76641</v>
      </c>
      <c r="P24" s="131" t="s">
        <v>451</v>
      </c>
      <c r="Q24" s="2" t="str">
        <f t="shared" si="3"/>
        <v>Anderson</v>
      </c>
      <c r="R24" s="2" t="str">
        <f>VLOOKUP(P24,$E$5:F43,2,0)</f>
        <v>Marketing</v>
      </c>
      <c r="S24" s="2">
        <f t="shared" si="4"/>
        <v>76641</v>
      </c>
    </row>
    <row r="25" spans="1:19" ht="15.75" thickBot="1">
      <c r="A25" s="131" t="s">
        <v>453</v>
      </c>
      <c r="B25" s="132" t="s">
        <v>452</v>
      </c>
      <c r="C25" s="104"/>
      <c r="D25" s="128"/>
      <c r="E25" s="132" t="s">
        <v>440</v>
      </c>
      <c r="F25" s="132" t="s">
        <v>72</v>
      </c>
      <c r="G25" s="128"/>
      <c r="H25" s="132" t="s">
        <v>442</v>
      </c>
      <c r="I25" s="133">
        <v>76260</v>
      </c>
      <c r="K25" s="131" t="s">
        <v>453</v>
      </c>
      <c r="L25" s="132" t="str">
        <f t="shared" si="0"/>
        <v>Peter</v>
      </c>
      <c r="M25" s="132" t="str">
        <f t="shared" si="1"/>
        <v>Sales</v>
      </c>
      <c r="N25" s="133">
        <f t="shared" si="2"/>
        <v>61678</v>
      </c>
      <c r="P25" s="131" t="s">
        <v>453</v>
      </c>
      <c r="Q25" s="2" t="str">
        <f t="shared" si="3"/>
        <v>Peter</v>
      </c>
      <c r="R25" s="2" t="str">
        <f>VLOOKUP(P25,$E$5:F44,2,0)</f>
        <v>Sales</v>
      </c>
      <c r="S25" s="2">
        <f t="shared" si="4"/>
        <v>61678</v>
      </c>
    </row>
    <row r="26" spans="1:19" ht="15.75" thickBot="1">
      <c r="A26" s="104"/>
      <c r="B26" s="104"/>
      <c r="C26" s="104"/>
      <c r="D26" s="104"/>
      <c r="E26" s="104"/>
      <c r="F26" s="104"/>
      <c r="G26" s="104"/>
      <c r="H26" s="104"/>
      <c r="I26" s="104"/>
    </row>
    <row r="27" spans="1:19" ht="15.75" thickBot="1">
      <c r="A27" s="104"/>
      <c r="B27" s="104"/>
      <c r="C27" s="104"/>
      <c r="D27" s="104"/>
      <c r="E27" s="104"/>
    </row>
    <row r="28" spans="1:19" ht="15.75" thickBot="1">
      <c r="A28" s="104"/>
      <c r="B28" s="104"/>
      <c r="C28" s="104"/>
      <c r="D28" s="104"/>
      <c r="E28" s="104"/>
    </row>
    <row r="29" spans="1:19" ht="15.75" thickBot="1">
      <c r="A29" s="104"/>
      <c r="B29" s="104"/>
      <c r="C29" s="104"/>
      <c r="D29" s="104"/>
      <c r="E29" s="104"/>
    </row>
    <row r="30" spans="1:19" ht="15.75" thickBot="1">
      <c r="A30" s="104"/>
      <c r="B30" s="104"/>
      <c r="C30" s="104"/>
      <c r="D30" s="104"/>
      <c r="E30" s="104"/>
    </row>
    <row r="31" spans="1:19" ht="15.75" thickBot="1">
      <c r="A31" s="104"/>
      <c r="B31" s="104"/>
      <c r="C31" s="104"/>
      <c r="D31" s="104"/>
      <c r="E31" s="104"/>
    </row>
    <row r="32" spans="1:19" ht="15.75" thickBot="1">
      <c r="A32" s="104"/>
      <c r="B32" s="104"/>
      <c r="C32" s="104"/>
      <c r="D32" s="104"/>
      <c r="E32" s="104"/>
    </row>
    <row r="33" spans="1:5" ht="15.75" thickBot="1">
      <c r="A33" s="104"/>
      <c r="B33" s="104"/>
      <c r="C33" s="104"/>
      <c r="D33" s="104"/>
      <c r="E33" s="104"/>
    </row>
    <row r="34" spans="1:5" ht="15.75" thickBot="1">
      <c r="A34" s="104"/>
      <c r="B34" s="104"/>
      <c r="C34" s="104"/>
      <c r="D34" s="104"/>
      <c r="E34" s="104"/>
    </row>
    <row r="35" spans="1:5" ht="15.75" thickBot="1">
      <c r="A35" s="104"/>
      <c r="B35" s="104"/>
      <c r="C35" s="104"/>
      <c r="D35" s="104"/>
      <c r="E35" s="104"/>
    </row>
    <row r="36" spans="1:5" ht="15.75" thickBot="1">
      <c r="A36" s="104"/>
      <c r="B36" s="104"/>
      <c r="C36" s="104"/>
      <c r="D36" s="104"/>
      <c r="E36" s="104"/>
    </row>
    <row r="37" spans="1:5" ht="15.75" thickBot="1">
      <c r="A37" s="104"/>
      <c r="B37" s="104"/>
      <c r="C37" s="104"/>
      <c r="D37" s="104"/>
      <c r="E37" s="104"/>
    </row>
    <row r="38" spans="1:5" ht="15.75" thickBot="1">
      <c r="A38" s="104"/>
      <c r="B38" s="104"/>
      <c r="C38" s="104"/>
      <c r="D38" s="104"/>
      <c r="E38" s="104"/>
    </row>
    <row r="39" spans="1:5" ht="15.75" thickBot="1">
      <c r="A39" s="104"/>
      <c r="B39" s="104"/>
      <c r="C39" s="104"/>
      <c r="D39" s="104"/>
      <c r="E39" s="104"/>
    </row>
    <row r="40" spans="1:5" ht="15.75" thickBot="1">
      <c r="A40" s="104"/>
      <c r="B40" s="104"/>
      <c r="C40" s="104"/>
      <c r="D40" s="104"/>
      <c r="E40" s="104"/>
    </row>
    <row r="41" spans="1:5" ht="15.75" thickBot="1">
      <c r="A41" s="104"/>
      <c r="B41" s="104"/>
      <c r="C41" s="104"/>
      <c r="D41" s="104"/>
      <c r="E41" s="104"/>
    </row>
    <row r="42" spans="1:5" ht="15.75" thickBot="1">
      <c r="A42" s="104"/>
      <c r="B42" s="104"/>
      <c r="C42" s="104"/>
      <c r="D42" s="104"/>
      <c r="E42" s="104"/>
    </row>
    <row r="43" spans="1:5" ht="15.75" thickBot="1">
      <c r="A43" s="104"/>
      <c r="B43" s="104"/>
      <c r="C43" s="104"/>
      <c r="D43" s="104"/>
      <c r="E43" s="104"/>
    </row>
    <row r="44" spans="1:5" ht="15.75" thickBot="1">
      <c r="A44" s="104"/>
      <c r="B44" s="104"/>
      <c r="C44" s="104"/>
      <c r="D44" s="104"/>
      <c r="E44" s="104"/>
    </row>
    <row r="45" spans="1:5" ht="15.75" thickBot="1">
      <c r="A45" s="104"/>
      <c r="B45" s="104"/>
      <c r="C45" s="104"/>
      <c r="D45" s="104"/>
      <c r="E45" s="104"/>
    </row>
    <row r="46" spans="1:5" ht="15.75" thickBot="1">
      <c r="A46" s="104"/>
      <c r="B46" s="104"/>
      <c r="C46" s="104"/>
      <c r="D46" s="104"/>
      <c r="E46" s="104"/>
    </row>
    <row r="47" spans="1:5" ht="15.75" thickBot="1">
      <c r="A47" s="104"/>
      <c r="B47" s="104"/>
      <c r="C47" s="104"/>
      <c r="D47" s="104"/>
      <c r="E47" s="104"/>
    </row>
    <row r="48" spans="1:5" ht="15.75" thickBot="1">
      <c r="A48" s="104"/>
      <c r="B48" s="104"/>
      <c r="C48" s="104"/>
      <c r="D48" s="104"/>
      <c r="E48" s="104"/>
    </row>
  </sheetData>
  <mergeCells count="5">
    <mergeCell ref="A1:I1"/>
    <mergeCell ref="A2:I2"/>
    <mergeCell ref="A4:B4"/>
    <mergeCell ref="E4:F4"/>
    <mergeCell ref="H4:I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5798-B54F-417F-AE54-DDED91A74106}">
  <dimension ref="A1:I36"/>
  <sheetViews>
    <sheetView topLeftCell="A19" workbookViewId="0">
      <selection activeCell="A37" sqref="A37"/>
    </sheetView>
  </sheetViews>
  <sheetFormatPr defaultRowHeight="15"/>
  <sheetData>
    <row r="1" spans="1:9" ht="19.5" thickBot="1">
      <c r="A1" s="258" t="s">
        <v>729</v>
      </c>
      <c r="B1" s="259"/>
      <c r="C1" s="259"/>
      <c r="D1" s="259"/>
      <c r="E1" s="259"/>
      <c r="F1" s="259"/>
      <c r="G1" s="259"/>
      <c r="H1" s="259"/>
      <c r="I1" s="260"/>
    </row>
    <row r="2" spans="1:9" ht="15.75" thickBot="1">
      <c r="A2" s="261" t="s">
        <v>457</v>
      </c>
      <c r="B2" s="262"/>
      <c r="C2" s="262"/>
      <c r="D2" s="262"/>
      <c r="E2" s="262"/>
      <c r="F2" s="262"/>
      <c r="G2" s="262"/>
      <c r="H2" s="262"/>
      <c r="I2" s="263"/>
    </row>
    <row r="3" spans="1:9" ht="15.75" thickBot="1">
      <c r="A3" s="75"/>
      <c r="B3" s="75"/>
      <c r="C3" s="75"/>
      <c r="D3" s="76"/>
      <c r="E3" s="76"/>
      <c r="F3" s="76"/>
      <c r="G3" s="76"/>
      <c r="H3" s="76"/>
      <c r="I3" s="76"/>
    </row>
    <row r="4" spans="1:9" ht="30.75" thickBot="1">
      <c r="A4" s="77" t="s">
        <v>730</v>
      </c>
      <c r="B4" s="78" t="s">
        <v>731</v>
      </c>
      <c r="C4" s="78" t="s">
        <v>732</v>
      </c>
      <c r="D4" s="76"/>
      <c r="E4" s="76"/>
      <c r="F4" s="76"/>
      <c r="G4" s="76"/>
      <c r="H4" s="76"/>
      <c r="I4" s="76"/>
    </row>
    <row r="5" spans="1:9" ht="15.75" thickBot="1">
      <c r="A5" s="87" t="s">
        <v>733</v>
      </c>
      <c r="B5" s="84" t="s">
        <v>734</v>
      </c>
      <c r="C5" s="84">
        <v>4615</v>
      </c>
      <c r="D5" s="76"/>
      <c r="E5" s="76"/>
      <c r="F5" s="76"/>
      <c r="G5" s="76"/>
      <c r="H5" s="76"/>
      <c r="I5" s="76"/>
    </row>
    <row r="6" spans="1:9" ht="15.75" thickBot="1">
      <c r="A6" s="87" t="s">
        <v>735</v>
      </c>
      <c r="B6" s="84" t="s">
        <v>736</v>
      </c>
      <c r="C6" s="84">
        <v>2345</v>
      </c>
      <c r="D6" s="76"/>
      <c r="E6" s="76"/>
      <c r="F6" s="76"/>
      <c r="G6" s="76"/>
      <c r="H6" s="76"/>
      <c r="I6" s="76"/>
    </row>
    <row r="7" spans="1:9" ht="15.75" thickBot="1">
      <c r="A7" s="87" t="s">
        <v>733</v>
      </c>
      <c r="B7" s="84" t="s">
        <v>737</v>
      </c>
      <c r="C7" s="84">
        <v>11282</v>
      </c>
      <c r="D7" s="76"/>
      <c r="E7" s="76"/>
      <c r="F7" s="76"/>
      <c r="G7" s="76"/>
      <c r="H7" s="76"/>
      <c r="I7" s="76"/>
    </row>
    <row r="8" spans="1:9" ht="15.75" thickBot="1">
      <c r="A8" s="87" t="s">
        <v>735</v>
      </c>
      <c r="B8" s="84" t="s">
        <v>738</v>
      </c>
      <c r="C8" s="84">
        <v>4159</v>
      </c>
      <c r="D8" s="76"/>
      <c r="E8" s="76"/>
      <c r="F8" s="76"/>
      <c r="G8" s="76"/>
      <c r="H8" s="76"/>
      <c r="I8" s="76"/>
    </row>
    <row r="9" spans="1:9" ht="15.75" thickBot="1">
      <c r="A9" s="87" t="s">
        <v>739</v>
      </c>
      <c r="B9" s="84" t="s">
        <v>740</v>
      </c>
      <c r="C9" s="84">
        <v>7802</v>
      </c>
      <c r="D9" s="76"/>
      <c r="E9" s="76"/>
      <c r="F9" s="76"/>
      <c r="G9" s="76"/>
      <c r="H9" s="76"/>
      <c r="I9" s="76"/>
    </row>
    <row r="10" spans="1:9" ht="15.75" thickBot="1">
      <c r="A10" s="87" t="s">
        <v>733</v>
      </c>
      <c r="B10" s="84" t="s">
        <v>741</v>
      </c>
      <c r="C10" s="84">
        <v>8486</v>
      </c>
      <c r="D10" s="76"/>
      <c r="E10" s="76"/>
      <c r="F10" s="76"/>
      <c r="G10" s="76"/>
      <c r="H10" s="76"/>
      <c r="I10" s="76"/>
    </row>
    <row r="11" spans="1:9" ht="15.75" thickBot="1">
      <c r="A11" s="87" t="s">
        <v>735</v>
      </c>
      <c r="B11" s="84" t="s">
        <v>742</v>
      </c>
      <c r="C11" s="84">
        <v>3384</v>
      </c>
      <c r="D11" s="76"/>
      <c r="E11" s="76"/>
      <c r="F11" s="76"/>
      <c r="G11" s="76"/>
      <c r="H11" s="76"/>
      <c r="I11" s="76"/>
    </row>
    <row r="12" spans="1:9" ht="15.75" thickBot="1">
      <c r="A12" s="87" t="s">
        <v>739</v>
      </c>
      <c r="B12" s="84" t="s">
        <v>743</v>
      </c>
      <c r="C12" s="84">
        <v>3422</v>
      </c>
      <c r="D12" s="76"/>
      <c r="E12" s="76"/>
      <c r="F12" s="76"/>
      <c r="G12" s="76"/>
      <c r="H12" s="76"/>
      <c r="I12" s="76"/>
    </row>
    <row r="13" spans="1:9" ht="15.75" thickBot="1">
      <c r="A13" s="75"/>
      <c r="B13" s="75"/>
      <c r="C13" s="75"/>
      <c r="D13" s="76"/>
      <c r="E13" s="75"/>
      <c r="F13" s="75"/>
      <c r="G13" s="75"/>
      <c r="H13" s="76"/>
      <c r="I13" s="76"/>
    </row>
    <row r="14" spans="1:9" ht="15.75" thickBot="1">
      <c r="A14" s="282" t="s">
        <v>744</v>
      </c>
      <c r="B14" s="283"/>
      <c r="C14" s="286">
        <f ca="1">SUMIF(A5:C12,"Ben",C5:C12)</f>
        <v>24383</v>
      </c>
      <c r="D14" s="79"/>
      <c r="E14" s="282" t="s">
        <v>745</v>
      </c>
      <c r="F14" s="283"/>
      <c r="G14" s="286">
        <f ca="1">SUMIF(A5:C12,"Jenny",C5:C12)</f>
        <v>11224</v>
      </c>
      <c r="H14" s="76"/>
      <c r="I14" s="76"/>
    </row>
    <row r="15" spans="1:9" ht="15.75" thickBot="1">
      <c r="A15" s="284"/>
      <c r="B15" s="285"/>
      <c r="C15" s="287"/>
      <c r="D15" s="79">
        <f ca="1">SUMIF(A5:C12,"Ben",C5:C12)</f>
        <v>24383</v>
      </c>
      <c r="E15" s="284"/>
      <c r="F15" s="285"/>
      <c r="G15" s="287"/>
      <c r="H15" s="76"/>
      <c r="I15" s="76"/>
    </row>
    <row r="16" spans="1:9" ht="15.75" thickBot="1">
      <c r="A16" s="75"/>
      <c r="B16" s="75"/>
      <c r="C16" s="75"/>
      <c r="D16" s="76"/>
      <c r="E16" s="75"/>
      <c r="F16" s="75"/>
      <c r="G16" s="75"/>
      <c r="H16" s="76"/>
      <c r="I16" s="76"/>
    </row>
    <row r="17" spans="1:9" ht="15.75" thickBot="1">
      <c r="A17" s="282" t="s">
        <v>746</v>
      </c>
      <c r="B17" s="283"/>
      <c r="C17" s="286">
        <f ca="1">SUMIF(A5:C12,"Ben",C5:C12)+SUMIF(A5:C12,"Jenny",C5:C12)</f>
        <v>35607</v>
      </c>
      <c r="D17" s="79"/>
      <c r="E17" s="282" t="s">
        <v>746</v>
      </c>
      <c r="F17" s="283"/>
      <c r="G17" s="286">
        <v>35607</v>
      </c>
      <c r="H17" s="76"/>
      <c r="I17" s="76"/>
    </row>
    <row r="18" spans="1:9" ht="15.75" thickBot="1">
      <c r="A18" s="284"/>
      <c r="B18" s="285"/>
      <c r="C18" s="287"/>
      <c r="D18" s="79"/>
      <c r="E18" s="284"/>
      <c r="F18" s="285"/>
      <c r="G18" s="287"/>
      <c r="H18" s="76"/>
      <c r="I18" s="76"/>
    </row>
    <row r="19" spans="1:9" ht="15.75" thickBot="1">
      <c r="A19" s="136" t="s">
        <v>747</v>
      </c>
      <c r="B19" s="76"/>
      <c r="C19" s="76"/>
      <c r="D19" s="76"/>
      <c r="E19" s="76"/>
      <c r="F19" s="76"/>
      <c r="G19" s="76"/>
      <c r="H19" s="76"/>
      <c r="I19" s="76"/>
    </row>
    <row r="20" spans="1:9" ht="15.75" thickBot="1">
      <c r="A20" s="75"/>
      <c r="B20" s="75"/>
      <c r="C20" s="75"/>
      <c r="D20" s="76"/>
      <c r="E20" s="76"/>
      <c r="F20" s="76"/>
      <c r="G20" s="76"/>
      <c r="H20" s="76"/>
      <c r="I20" s="76"/>
    </row>
    <row r="21" spans="1:9" ht="30.75" thickBot="1">
      <c r="A21" s="77" t="s">
        <v>730</v>
      </c>
      <c r="B21" s="78" t="s">
        <v>731</v>
      </c>
      <c r="C21" s="78" t="s">
        <v>732</v>
      </c>
      <c r="D21" s="76"/>
      <c r="E21" s="76"/>
      <c r="F21" s="76"/>
      <c r="G21" s="76"/>
      <c r="H21" s="76"/>
      <c r="I21" s="76"/>
    </row>
    <row r="22" spans="1:9" ht="15.75" thickBot="1">
      <c r="A22" s="87" t="s">
        <v>733</v>
      </c>
      <c r="B22" s="84" t="s">
        <v>734</v>
      </c>
      <c r="C22" s="84">
        <v>4615</v>
      </c>
      <c r="D22" s="76"/>
      <c r="E22" s="76"/>
      <c r="F22" s="76"/>
      <c r="G22" s="76"/>
      <c r="H22" s="76"/>
      <c r="I22" s="76"/>
    </row>
    <row r="23" spans="1:9" ht="15.75" thickBot="1">
      <c r="A23" s="87" t="s">
        <v>735</v>
      </c>
      <c r="B23" s="84" t="s">
        <v>736</v>
      </c>
      <c r="C23" s="84">
        <v>2345</v>
      </c>
      <c r="D23" s="76"/>
      <c r="E23" s="76"/>
      <c r="F23" s="76"/>
      <c r="G23" s="76"/>
      <c r="H23" s="76"/>
      <c r="I23" s="76"/>
    </row>
    <row r="24" spans="1:9" ht="15.75" thickBot="1">
      <c r="A24" s="87" t="s">
        <v>733</v>
      </c>
      <c r="B24" s="84" t="s">
        <v>737</v>
      </c>
      <c r="C24" s="84">
        <v>11282</v>
      </c>
      <c r="D24" s="76"/>
      <c r="E24" s="76"/>
      <c r="F24" s="76"/>
      <c r="G24" s="76"/>
      <c r="H24" s="76"/>
      <c r="I24" s="76"/>
    </row>
    <row r="25" spans="1:9" ht="15.75" thickBot="1">
      <c r="A25" s="87" t="s">
        <v>735</v>
      </c>
      <c r="B25" s="84" t="s">
        <v>738</v>
      </c>
      <c r="C25" s="84">
        <v>4159</v>
      </c>
      <c r="D25" s="76"/>
      <c r="E25" s="76"/>
      <c r="F25" s="76"/>
      <c r="G25" s="76"/>
      <c r="H25" s="76"/>
      <c r="I25" s="76"/>
    </row>
    <row r="26" spans="1:9" ht="15.75" thickBot="1">
      <c r="A26" s="87" t="s">
        <v>739</v>
      </c>
      <c r="B26" s="84" t="s">
        <v>740</v>
      </c>
      <c r="C26" s="84">
        <v>7802</v>
      </c>
      <c r="D26" s="76"/>
      <c r="E26" s="76"/>
      <c r="F26" s="76"/>
      <c r="G26" s="76"/>
      <c r="H26" s="76"/>
      <c r="I26" s="76"/>
    </row>
    <row r="27" spans="1:9" ht="15.75" thickBot="1">
      <c r="A27" s="87" t="s">
        <v>733</v>
      </c>
      <c r="B27" s="84" t="s">
        <v>741</v>
      </c>
      <c r="C27" s="84">
        <v>8486</v>
      </c>
      <c r="D27" s="76"/>
      <c r="E27" s="76"/>
      <c r="F27" s="76"/>
      <c r="G27" s="76"/>
      <c r="H27" s="76"/>
      <c r="I27" s="76"/>
    </row>
    <row r="28" spans="1:9" ht="15.75" thickBot="1">
      <c r="A28" s="87" t="s">
        <v>735</v>
      </c>
      <c r="B28" s="84" t="s">
        <v>742</v>
      </c>
      <c r="C28" s="84">
        <v>3384</v>
      </c>
      <c r="D28" s="76"/>
      <c r="E28" s="76"/>
      <c r="F28" s="76"/>
      <c r="G28" s="76"/>
      <c r="H28" s="76"/>
      <c r="I28" s="76"/>
    </row>
    <row r="29" spans="1:9" ht="15.75" thickBot="1">
      <c r="A29" s="87" t="s">
        <v>739</v>
      </c>
      <c r="B29" s="84" t="s">
        <v>743</v>
      </c>
      <c r="C29" s="84">
        <v>3422</v>
      </c>
      <c r="D29" s="76"/>
      <c r="E29" s="76"/>
      <c r="F29" s="76"/>
      <c r="G29" s="76"/>
      <c r="H29" s="76"/>
      <c r="I29" s="76"/>
    </row>
    <row r="30" spans="1:9" ht="15.75" thickBot="1">
      <c r="A30" s="75"/>
      <c r="B30" s="75"/>
      <c r="C30" s="75"/>
      <c r="D30" s="76"/>
      <c r="E30" s="75"/>
      <c r="F30" s="75"/>
      <c r="G30" s="75"/>
      <c r="H30" s="76"/>
      <c r="I30" s="76"/>
    </row>
    <row r="31" spans="1:9" ht="15.75" thickBot="1">
      <c r="A31" s="282" t="s">
        <v>746</v>
      </c>
      <c r="B31" s="283"/>
      <c r="C31" s="286">
        <f ca="1">SUMIF(A22:C29,"Ben",C22:C29)+SUMIF(A22:C29,"Jenny",C22:C29)</f>
        <v>35607</v>
      </c>
      <c r="D31" s="79"/>
      <c r="E31" s="282" t="s">
        <v>748</v>
      </c>
      <c r="F31" s="283"/>
      <c r="G31" s="286">
        <f ca="1">SUMIF(A22:C29,"Jeff",C22:C29)+SUMIF(A22:C29,"Jenny",C22:C29)</f>
        <v>21112</v>
      </c>
      <c r="H31" s="76"/>
      <c r="I31" s="76"/>
    </row>
    <row r="32" spans="1:9" ht="15.75" thickBot="1">
      <c r="A32" s="284"/>
      <c r="B32" s="285"/>
      <c r="C32" s="287"/>
      <c r="D32" s="79"/>
      <c r="E32" s="284"/>
      <c r="F32" s="285"/>
      <c r="G32" s="287"/>
      <c r="H32" s="76"/>
      <c r="I32" s="76"/>
    </row>
    <row r="33" spans="1:9" ht="15.75" thickBot="1">
      <c r="A33" s="76"/>
      <c r="B33" s="76"/>
      <c r="C33" s="76"/>
      <c r="D33" s="76"/>
      <c r="E33" s="76"/>
      <c r="F33" s="76"/>
      <c r="G33" s="76"/>
      <c r="H33" s="76"/>
      <c r="I33" s="76"/>
    </row>
    <row r="34" spans="1:9" ht="15.75" thickBot="1">
      <c r="A34" s="136" t="s">
        <v>747</v>
      </c>
      <c r="B34" s="76"/>
      <c r="C34" s="76"/>
      <c r="D34" s="76"/>
      <c r="E34" s="76"/>
      <c r="F34" s="76"/>
      <c r="G34" s="76"/>
      <c r="H34" s="76"/>
      <c r="I34" s="76"/>
    </row>
    <row r="36" spans="1:9">
      <c r="A36">
        <f ca="1">SUMIF(A22:C29,"Ben",C22:C29)+SUMIF(A22:C29,"Jenny",C22:C29)</f>
        <v>35607</v>
      </c>
    </row>
  </sheetData>
  <mergeCells count="14">
    <mergeCell ref="A17:B18"/>
    <mergeCell ref="C17:C18"/>
    <mergeCell ref="E17:F18"/>
    <mergeCell ref="G17:G18"/>
    <mergeCell ref="A31:B32"/>
    <mergeCell ref="C31:C32"/>
    <mergeCell ref="E31:F32"/>
    <mergeCell ref="G31:G32"/>
    <mergeCell ref="A1:I1"/>
    <mergeCell ref="A2:I2"/>
    <mergeCell ref="A14:B15"/>
    <mergeCell ref="C14:C15"/>
    <mergeCell ref="E14:F15"/>
    <mergeCell ref="G14:G1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13415-39E0-4949-934E-DF6D4DD9B77E}">
  <dimension ref="A1:I38"/>
  <sheetViews>
    <sheetView workbookViewId="0">
      <selection activeCell="F16" sqref="F16"/>
    </sheetView>
  </sheetViews>
  <sheetFormatPr defaultRowHeight="15"/>
  <sheetData>
    <row r="1" spans="1:9" ht="19.5" thickBot="1">
      <c r="A1" s="258" t="s">
        <v>749</v>
      </c>
      <c r="B1" s="259"/>
      <c r="C1" s="259"/>
      <c r="D1" s="259"/>
      <c r="E1" s="259"/>
      <c r="F1" s="259"/>
      <c r="G1" s="259"/>
      <c r="H1" s="259"/>
      <c r="I1" s="260"/>
    </row>
    <row r="2" spans="1:9" ht="15.75" thickBot="1">
      <c r="A2" s="261" t="s">
        <v>750</v>
      </c>
      <c r="B2" s="262"/>
      <c r="C2" s="262"/>
      <c r="D2" s="262"/>
      <c r="E2" s="262"/>
      <c r="F2" s="262"/>
      <c r="G2" s="262"/>
      <c r="H2" s="262"/>
      <c r="I2" s="263"/>
    </row>
    <row r="3" spans="1:9" ht="15.75" thickBot="1">
      <c r="A3" s="75"/>
      <c r="B3" s="75"/>
      <c r="C3" s="75"/>
      <c r="D3" s="76"/>
      <c r="E3" s="76"/>
      <c r="F3" s="76"/>
      <c r="G3" s="76"/>
      <c r="H3" s="76"/>
      <c r="I3" s="76"/>
    </row>
    <row r="4" spans="1:9" ht="15.75" thickBot="1">
      <c r="A4" s="77" t="s">
        <v>389</v>
      </c>
      <c r="B4" s="78" t="s">
        <v>751</v>
      </c>
      <c r="C4" s="78" t="s">
        <v>752</v>
      </c>
      <c r="D4" s="76"/>
      <c r="E4" s="76"/>
      <c r="F4" s="76"/>
      <c r="G4" s="76"/>
      <c r="H4" s="76"/>
      <c r="I4" s="76"/>
    </row>
    <row r="5" spans="1:9" ht="15.75" thickBot="1">
      <c r="A5" s="87" t="s">
        <v>753</v>
      </c>
      <c r="B5" s="84">
        <v>20</v>
      </c>
      <c r="C5" s="84">
        <v>10</v>
      </c>
      <c r="D5" s="76"/>
      <c r="E5" s="76"/>
      <c r="F5" s="76"/>
      <c r="G5" s="76"/>
      <c r="H5" s="76"/>
      <c r="I5" s="76"/>
    </row>
    <row r="6" spans="1:9" ht="30.75" thickBot="1">
      <c r="A6" s="87" t="s">
        <v>754</v>
      </c>
      <c r="B6" s="84">
        <v>15</v>
      </c>
      <c r="C6" s="84">
        <v>20</v>
      </c>
      <c r="D6" s="76"/>
      <c r="E6" s="76"/>
      <c r="F6" s="76"/>
      <c r="G6" s="76"/>
      <c r="H6" s="76"/>
      <c r="I6" s="76"/>
    </row>
    <row r="7" spans="1:9" ht="15.75" thickBot="1">
      <c r="A7" s="87" t="s">
        <v>755</v>
      </c>
      <c r="B7" s="84">
        <v>5</v>
      </c>
      <c r="C7" s="84">
        <v>35</v>
      </c>
      <c r="D7" s="76"/>
      <c r="E7" s="76"/>
      <c r="F7" s="76"/>
      <c r="G7" s="76"/>
      <c r="H7" s="76"/>
      <c r="I7" s="76"/>
    </row>
    <row r="8" spans="1:9" ht="15.75" thickBot="1">
      <c r="A8" s="87" t="s">
        <v>756</v>
      </c>
      <c r="B8" s="84">
        <v>10</v>
      </c>
      <c r="C8" s="84">
        <v>6</v>
      </c>
      <c r="D8" s="76"/>
      <c r="E8" s="76"/>
      <c r="F8" s="76"/>
      <c r="G8" s="76"/>
      <c r="H8" s="76"/>
      <c r="I8" s="76"/>
    </row>
    <row r="9" spans="1:9" ht="15.75" thickBot="1">
      <c r="A9" s="87" t="s">
        <v>757</v>
      </c>
      <c r="B9" s="84">
        <v>8</v>
      </c>
      <c r="C9" s="84">
        <v>8</v>
      </c>
      <c r="D9" s="76"/>
      <c r="E9" s="76"/>
      <c r="F9" s="76"/>
      <c r="G9" s="76"/>
      <c r="H9" s="76"/>
      <c r="I9" s="76"/>
    </row>
    <row r="10" spans="1:9" ht="15.75" thickBot="1">
      <c r="A10" s="76"/>
      <c r="B10" s="137" t="s">
        <v>96</v>
      </c>
      <c r="C10" s="137">
        <f>SUMPRODUCT(B5:B9,C5:C9)</f>
        <v>799</v>
      </c>
      <c r="D10" s="76"/>
      <c r="E10" s="88" t="s">
        <v>758</v>
      </c>
      <c r="F10" s="76"/>
      <c r="G10" s="76"/>
      <c r="H10" s="76"/>
      <c r="I10" s="76"/>
    </row>
    <row r="11" spans="1:9" ht="15.75" thickBot="1">
      <c r="A11" s="76"/>
      <c r="B11" s="76"/>
      <c r="C11" s="76">
        <f>SUMPRODUCT(B5:B9,C5:C9)</f>
        <v>799</v>
      </c>
      <c r="D11" s="76"/>
      <c r="E11" s="76"/>
      <c r="F11" s="76"/>
      <c r="G11" s="76"/>
      <c r="H11" s="76"/>
      <c r="I11" s="76"/>
    </row>
    <row r="12" spans="1:9" ht="34.5" customHeight="1" thickBot="1">
      <c r="A12" s="76"/>
      <c r="B12" s="76"/>
      <c r="C12" s="88" t="s">
        <v>759</v>
      </c>
      <c r="D12" s="76"/>
      <c r="E12" s="102" t="s">
        <v>760</v>
      </c>
      <c r="F12" s="76"/>
      <c r="G12" s="76"/>
      <c r="H12" s="76"/>
      <c r="I12" s="76"/>
    </row>
    <row r="13" spans="1:9" ht="15.75" thickBot="1">
      <c r="A13" s="76"/>
      <c r="B13" s="76"/>
      <c r="C13" s="76"/>
      <c r="D13" s="76"/>
      <c r="E13" s="76"/>
      <c r="F13" s="76"/>
      <c r="G13" s="76"/>
      <c r="H13" s="76"/>
      <c r="I13" s="76"/>
    </row>
    <row r="14" spans="1:9" ht="30.75" thickBot="1">
      <c r="A14" s="76"/>
      <c r="B14" s="76"/>
      <c r="C14" s="76"/>
      <c r="D14" s="76"/>
      <c r="E14" s="138" t="s">
        <v>761</v>
      </c>
      <c r="F14" s="76"/>
      <c r="G14" s="76"/>
      <c r="H14" s="76"/>
      <c r="I14" s="76"/>
    </row>
    <row r="15" spans="1:9" ht="15.75" thickBot="1">
      <c r="A15" s="75"/>
      <c r="B15" s="75"/>
      <c r="C15" s="76"/>
      <c r="D15" s="75"/>
      <c r="E15" s="75"/>
      <c r="F15" s="76"/>
      <c r="G15" s="76"/>
      <c r="H15" s="76"/>
      <c r="I15" s="76"/>
    </row>
    <row r="16" spans="1:9" ht="15.75" thickBot="1">
      <c r="A16" s="288" t="s">
        <v>725</v>
      </c>
      <c r="B16" s="289"/>
      <c r="C16" s="79"/>
      <c r="D16" s="288" t="s">
        <v>726</v>
      </c>
      <c r="E16" s="289"/>
      <c r="F16" s="76"/>
      <c r="G16" s="76"/>
      <c r="H16" s="76"/>
      <c r="I16" s="76"/>
    </row>
    <row r="17" spans="1:9" ht="30.75" thickBot="1">
      <c r="A17" s="93" t="s">
        <v>762</v>
      </c>
      <c r="B17" s="94" t="s">
        <v>763</v>
      </c>
      <c r="C17" s="79"/>
      <c r="D17" s="94" t="s">
        <v>762</v>
      </c>
      <c r="E17" s="94" t="s">
        <v>763</v>
      </c>
      <c r="F17" s="76"/>
      <c r="G17" s="76"/>
      <c r="H17" s="76"/>
      <c r="I17" s="76"/>
    </row>
    <row r="18" spans="1:9" ht="15.75" thickBot="1">
      <c r="A18" s="123">
        <v>415930</v>
      </c>
      <c r="B18" s="99" t="s">
        <v>764</v>
      </c>
      <c r="C18" s="79"/>
      <c r="D18" s="84">
        <v>415930</v>
      </c>
      <c r="E18" s="139" t="str">
        <f>VLOOKUP(D18,$A$17:$B$37,2,0)</f>
        <v>U_362</v>
      </c>
      <c r="F18" s="76"/>
      <c r="G18" s="76"/>
      <c r="H18" s="76"/>
      <c r="I18" s="76"/>
    </row>
    <row r="19" spans="1:9" ht="15.75" thickBot="1">
      <c r="A19" s="123">
        <v>100847</v>
      </c>
      <c r="B19" s="99" t="s">
        <v>765</v>
      </c>
      <c r="C19" s="79"/>
      <c r="D19" s="84">
        <v>100847</v>
      </c>
      <c r="E19" s="139" t="str">
        <f t="shared" ref="E19:E37" si="0">VLOOKUP(D19,$A$17:$B$37,2,0)</f>
        <v>Z_143</v>
      </c>
      <c r="F19" s="76"/>
      <c r="G19" s="76"/>
      <c r="H19" s="76"/>
      <c r="I19" s="76"/>
    </row>
    <row r="20" spans="1:9" ht="15.75" thickBot="1">
      <c r="A20" s="123">
        <v>592629</v>
      </c>
      <c r="B20" s="99" t="s">
        <v>766</v>
      </c>
      <c r="C20" s="79"/>
      <c r="D20" s="84">
        <v>592629</v>
      </c>
      <c r="E20" s="139" t="str">
        <f t="shared" si="0"/>
        <v>F_103</v>
      </c>
      <c r="F20" s="76"/>
      <c r="G20" s="76"/>
      <c r="H20" s="76"/>
      <c r="I20" s="76"/>
    </row>
    <row r="21" spans="1:9" ht="15.75" thickBot="1">
      <c r="A21" s="123">
        <v>26531</v>
      </c>
      <c r="B21" s="99" t="s">
        <v>767</v>
      </c>
      <c r="C21" s="79"/>
      <c r="D21" s="84">
        <v>26531</v>
      </c>
      <c r="E21" s="139" t="str">
        <f t="shared" si="0"/>
        <v>N_148</v>
      </c>
      <c r="F21" s="76"/>
      <c r="G21" s="76"/>
      <c r="H21" s="76"/>
      <c r="I21" s="76"/>
    </row>
    <row r="22" spans="1:9" ht="15.75" thickBot="1">
      <c r="A22" s="123">
        <v>333812</v>
      </c>
      <c r="B22" s="99" t="s">
        <v>768</v>
      </c>
      <c r="C22" s="79"/>
      <c r="D22" s="84">
        <v>333812</v>
      </c>
      <c r="E22" s="139" t="str">
        <f t="shared" si="0"/>
        <v>L_120</v>
      </c>
      <c r="F22" s="76"/>
      <c r="G22" s="76"/>
      <c r="H22" s="76"/>
      <c r="I22" s="76"/>
    </row>
    <row r="23" spans="1:9" ht="15.75" thickBot="1">
      <c r="A23" s="123">
        <v>261178</v>
      </c>
      <c r="B23" s="99" t="s">
        <v>769</v>
      </c>
      <c r="C23" s="79"/>
      <c r="D23" s="84">
        <v>261178</v>
      </c>
      <c r="E23" s="139" t="str">
        <f>VLOOKUP(D23,$A$17:$B$37,2,0)</f>
        <v>G_455</v>
      </c>
      <c r="F23" s="76"/>
      <c r="G23" s="76"/>
      <c r="H23" s="76"/>
      <c r="I23" s="76"/>
    </row>
    <row r="24" spans="1:9" ht="15.75" thickBot="1">
      <c r="A24" s="123">
        <v>131380</v>
      </c>
      <c r="B24" s="99" t="s">
        <v>770</v>
      </c>
      <c r="C24" s="79"/>
      <c r="D24" s="84">
        <v>131380</v>
      </c>
      <c r="E24" s="139" t="str">
        <f t="shared" si="0"/>
        <v>E_195</v>
      </c>
      <c r="F24" s="76"/>
      <c r="G24" s="76"/>
      <c r="H24" s="76"/>
      <c r="I24" s="76"/>
    </row>
    <row r="25" spans="1:9" ht="15.75" thickBot="1">
      <c r="A25" s="123">
        <v>568870</v>
      </c>
      <c r="B25" s="99" t="s">
        <v>771</v>
      </c>
      <c r="C25" s="79"/>
      <c r="D25" s="84">
        <v>568870</v>
      </c>
      <c r="E25" s="139" t="str">
        <f t="shared" si="0"/>
        <v>E_41</v>
      </c>
      <c r="F25" s="76"/>
      <c r="G25" s="76"/>
      <c r="H25" s="76"/>
      <c r="I25" s="76"/>
    </row>
    <row r="26" spans="1:9" ht="15.75" thickBot="1">
      <c r="A26" s="123">
        <v>357335</v>
      </c>
      <c r="B26" s="99" t="s">
        <v>772</v>
      </c>
      <c r="C26" s="79"/>
      <c r="D26" s="84">
        <v>357335</v>
      </c>
      <c r="E26" s="139" t="str">
        <f t="shared" si="0"/>
        <v>O_62</v>
      </c>
      <c r="F26" s="76"/>
      <c r="G26" s="76"/>
      <c r="H26" s="76"/>
      <c r="I26" s="76"/>
    </row>
    <row r="27" spans="1:9" ht="15.75" thickBot="1">
      <c r="A27" s="123">
        <v>692273</v>
      </c>
      <c r="B27" s="99" t="s">
        <v>773</v>
      </c>
      <c r="C27" s="79"/>
      <c r="D27" s="84">
        <v>692273</v>
      </c>
      <c r="E27" s="139" t="str">
        <f t="shared" si="0"/>
        <v>B_277</v>
      </c>
      <c r="F27" s="76"/>
      <c r="G27" s="76"/>
      <c r="H27" s="76"/>
      <c r="I27" s="76"/>
    </row>
    <row r="28" spans="1:9" ht="15.75" thickBot="1">
      <c r="A28" s="123">
        <v>530883</v>
      </c>
      <c r="B28" s="99" t="s">
        <v>774</v>
      </c>
      <c r="C28" s="79"/>
      <c r="D28" s="84">
        <v>530883</v>
      </c>
      <c r="E28" s="139" t="str">
        <f t="shared" si="0"/>
        <v>V_318</v>
      </c>
      <c r="F28" s="76"/>
      <c r="G28" s="76"/>
      <c r="H28" s="76"/>
      <c r="I28" s="76"/>
    </row>
    <row r="29" spans="1:9" ht="15.75" thickBot="1">
      <c r="A29" s="123">
        <v>124354</v>
      </c>
      <c r="B29" s="99" t="s">
        <v>775</v>
      </c>
      <c r="C29" s="79"/>
      <c r="D29" s="84">
        <v>124354</v>
      </c>
      <c r="E29" s="139" t="str">
        <f t="shared" si="0"/>
        <v>J_446</v>
      </c>
      <c r="F29" s="76"/>
      <c r="G29" s="76"/>
      <c r="H29" s="76"/>
      <c r="I29" s="76"/>
    </row>
    <row r="30" spans="1:9" ht="15.75" thickBot="1">
      <c r="A30" s="123">
        <v>430230</v>
      </c>
      <c r="B30" s="99" t="s">
        <v>776</v>
      </c>
      <c r="C30" s="79"/>
      <c r="D30" s="84">
        <v>430230</v>
      </c>
      <c r="E30" s="139" t="str">
        <f t="shared" si="0"/>
        <v>P_18</v>
      </c>
      <c r="F30" s="76"/>
      <c r="G30" s="76"/>
      <c r="H30" s="76"/>
      <c r="I30" s="76"/>
    </row>
    <row r="31" spans="1:9" ht="15.75" thickBot="1">
      <c r="A31" s="123">
        <v>474386</v>
      </c>
      <c r="B31" s="99" t="s">
        <v>777</v>
      </c>
      <c r="C31" s="79"/>
      <c r="D31" s="84">
        <v>474386</v>
      </c>
      <c r="E31" s="139" t="str">
        <f t="shared" si="0"/>
        <v>T_84</v>
      </c>
      <c r="F31" s="76"/>
      <c r="G31" s="76"/>
      <c r="H31" s="76"/>
      <c r="I31" s="76"/>
    </row>
    <row r="32" spans="1:9" ht="15.75" thickBot="1">
      <c r="A32" s="123">
        <v>62142</v>
      </c>
      <c r="B32" s="99" t="s">
        <v>778</v>
      </c>
      <c r="C32" s="79"/>
      <c r="D32" s="84">
        <v>62142</v>
      </c>
      <c r="E32" s="139" t="str">
        <f t="shared" si="0"/>
        <v>J_264</v>
      </c>
      <c r="F32" s="76"/>
      <c r="G32" s="76"/>
      <c r="H32" s="76"/>
      <c r="I32" s="76"/>
    </row>
    <row r="33" spans="1:9" ht="15.75" thickBot="1">
      <c r="A33" s="123">
        <v>313357</v>
      </c>
      <c r="B33" s="99" t="s">
        <v>779</v>
      </c>
      <c r="C33" s="79"/>
      <c r="D33" s="84">
        <v>313357</v>
      </c>
      <c r="E33" s="139" t="str">
        <f t="shared" si="0"/>
        <v>X_296</v>
      </c>
      <c r="F33" s="76"/>
      <c r="G33" s="76"/>
      <c r="H33" s="76"/>
      <c r="I33" s="76"/>
    </row>
    <row r="34" spans="1:9" ht="15.75" thickBot="1">
      <c r="A34" s="123">
        <v>543456</v>
      </c>
      <c r="B34" s="99" t="s">
        <v>780</v>
      </c>
      <c r="C34" s="79"/>
      <c r="D34" s="84">
        <v>543456</v>
      </c>
      <c r="E34" s="139" t="str">
        <f t="shared" si="0"/>
        <v>X_112</v>
      </c>
      <c r="F34" s="76"/>
      <c r="G34" s="76"/>
      <c r="H34" s="76"/>
      <c r="I34" s="76"/>
    </row>
    <row r="35" spans="1:9" ht="15.75" thickBot="1">
      <c r="A35" s="123">
        <v>74285</v>
      </c>
      <c r="B35" s="99" t="s">
        <v>781</v>
      </c>
      <c r="C35" s="79"/>
      <c r="D35" s="84">
        <v>74285</v>
      </c>
      <c r="E35" s="139" t="str">
        <f t="shared" si="0"/>
        <v>J_430</v>
      </c>
      <c r="F35" s="76"/>
      <c r="G35" s="76"/>
      <c r="H35" s="76"/>
      <c r="I35" s="76"/>
    </row>
    <row r="36" spans="1:9" ht="15.75" thickBot="1">
      <c r="A36" s="123">
        <v>80125</v>
      </c>
      <c r="B36" s="99" t="s">
        <v>782</v>
      </c>
      <c r="C36" s="79"/>
      <c r="D36" s="84">
        <v>80125</v>
      </c>
      <c r="E36" s="139" t="str">
        <f t="shared" si="0"/>
        <v>I_159</v>
      </c>
      <c r="F36" s="76"/>
      <c r="G36" s="76"/>
      <c r="H36" s="76"/>
      <c r="I36" s="76"/>
    </row>
    <row r="37" spans="1:9" ht="15.75" thickBot="1">
      <c r="A37" s="123">
        <v>715820</v>
      </c>
      <c r="B37" s="99" t="s">
        <v>783</v>
      </c>
      <c r="C37" s="79"/>
      <c r="D37" s="84">
        <v>715820</v>
      </c>
      <c r="E37" s="139" t="str">
        <f t="shared" si="0"/>
        <v>F_10</v>
      </c>
      <c r="F37" s="76"/>
      <c r="G37" s="76"/>
      <c r="H37" s="76"/>
      <c r="I37" s="76"/>
    </row>
    <row r="38" spans="1:9" ht="15.75" thickBot="1">
      <c r="A38" s="76"/>
      <c r="B38" s="76"/>
      <c r="C38" s="76"/>
      <c r="D38" s="76"/>
      <c r="E38" s="76"/>
      <c r="F38" s="76"/>
      <c r="G38" s="76"/>
      <c r="H38" s="76"/>
      <c r="I38" s="76"/>
    </row>
  </sheetData>
  <mergeCells count="4">
    <mergeCell ref="A1:I1"/>
    <mergeCell ref="A2:I2"/>
    <mergeCell ref="A16:B16"/>
    <mergeCell ref="D16:E1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A9A4-6BB2-4CB9-8C49-564C71E6789F}">
  <dimension ref="A1:P24"/>
  <sheetViews>
    <sheetView topLeftCell="A4" workbookViewId="0">
      <selection activeCell="O7" sqref="O7"/>
    </sheetView>
  </sheetViews>
  <sheetFormatPr defaultRowHeight="15"/>
  <cols>
    <col min="1" max="1" width="14" customWidth="1"/>
    <col min="3" max="3" width="11.85546875" customWidth="1"/>
    <col min="6" max="6" width="11.7109375" customWidth="1"/>
    <col min="11" max="11" width="13.140625" bestFit="1" customWidth="1"/>
    <col min="12" max="12" width="16.42578125" bestFit="1" customWidth="1"/>
    <col min="15" max="15" width="13.140625" bestFit="1" customWidth="1"/>
    <col min="16" max="16" width="16.42578125" bestFit="1" customWidth="1"/>
  </cols>
  <sheetData>
    <row r="1" spans="1:16" ht="19.5" thickBot="1">
      <c r="A1" s="258" t="s">
        <v>979</v>
      </c>
      <c r="B1" s="259"/>
      <c r="C1" s="259"/>
      <c r="D1" s="259"/>
      <c r="E1" s="259"/>
      <c r="F1" s="259"/>
      <c r="G1" s="260"/>
    </row>
    <row r="2" spans="1:16" ht="15.75" thickBot="1">
      <c r="A2" s="261" t="s">
        <v>980</v>
      </c>
      <c r="B2" s="262"/>
      <c r="C2" s="262"/>
      <c r="D2" s="262"/>
      <c r="E2" s="262"/>
      <c r="F2" s="262"/>
      <c r="G2" s="263"/>
    </row>
    <row r="3" spans="1:16" ht="15.75" thickBot="1">
      <c r="A3" s="76"/>
      <c r="B3" s="76"/>
      <c r="C3" s="76"/>
      <c r="D3" s="76"/>
      <c r="E3" s="76"/>
      <c r="F3" s="76"/>
      <c r="G3" s="76"/>
    </row>
    <row r="4" spans="1:16" ht="15.75" thickBot="1">
      <c r="A4" s="75"/>
      <c r="B4" s="75"/>
      <c r="C4" s="75"/>
      <c r="D4" s="76"/>
      <c r="E4" s="76"/>
      <c r="F4" s="290" t="s">
        <v>981</v>
      </c>
      <c r="G4" s="291"/>
    </row>
    <row r="5" spans="1:16" ht="15.75" thickBot="1">
      <c r="A5" s="96" t="s">
        <v>982</v>
      </c>
      <c r="B5" s="97" t="s">
        <v>715</v>
      </c>
      <c r="C5" s="97" t="s">
        <v>983</v>
      </c>
      <c r="D5" s="76"/>
      <c r="E5" s="76"/>
      <c r="F5" s="76" t="s">
        <v>715</v>
      </c>
      <c r="G5" s="76" t="s">
        <v>984</v>
      </c>
      <c r="K5" s="222" t="s">
        <v>715</v>
      </c>
      <c r="L5" s="2" t="s">
        <v>649</v>
      </c>
      <c r="O5" s="221" t="s">
        <v>715</v>
      </c>
      <c r="P5" t="s">
        <v>984</v>
      </c>
    </row>
    <row r="6" spans="1:16" ht="15.75" thickBot="1">
      <c r="A6" s="87" t="s">
        <v>985</v>
      </c>
      <c r="B6" s="84" t="s">
        <v>648</v>
      </c>
      <c r="C6" s="125">
        <v>201440</v>
      </c>
      <c r="D6" s="76"/>
      <c r="E6" s="76"/>
      <c r="F6" s="75"/>
      <c r="G6" s="75"/>
    </row>
    <row r="7" spans="1:16" ht="45.75" thickBot="1">
      <c r="A7" s="87" t="s">
        <v>986</v>
      </c>
      <c r="B7" s="84" t="s">
        <v>648</v>
      </c>
      <c r="C7" s="125">
        <v>352519</v>
      </c>
      <c r="D7" s="76"/>
      <c r="E7" s="79"/>
      <c r="F7" s="215" t="s">
        <v>982</v>
      </c>
      <c r="G7" s="215" t="s">
        <v>987</v>
      </c>
      <c r="K7" s="222" t="s">
        <v>996</v>
      </c>
      <c r="L7" s="2" t="s">
        <v>987</v>
      </c>
      <c r="O7" s="221" t="s">
        <v>996</v>
      </c>
      <c r="P7" t="s">
        <v>987</v>
      </c>
    </row>
    <row r="8" spans="1:16" ht="15.75" thickBot="1">
      <c r="A8" s="87" t="s">
        <v>988</v>
      </c>
      <c r="B8" s="84" t="s">
        <v>648</v>
      </c>
      <c r="C8" s="125">
        <v>172406</v>
      </c>
      <c r="D8" s="76"/>
      <c r="E8" s="79"/>
      <c r="F8" s="216">
        <v>43435</v>
      </c>
      <c r="G8" s="217">
        <v>240000</v>
      </c>
      <c r="K8" s="223" t="s">
        <v>989</v>
      </c>
      <c r="L8" s="224">
        <v>50549</v>
      </c>
      <c r="O8" s="28" t="s">
        <v>989</v>
      </c>
      <c r="P8" s="248">
        <v>50549</v>
      </c>
    </row>
    <row r="9" spans="1:16" ht="15.75" thickBot="1">
      <c r="A9" s="218">
        <v>43435</v>
      </c>
      <c r="B9" s="84" t="s">
        <v>648</v>
      </c>
      <c r="C9" s="125">
        <v>240000</v>
      </c>
      <c r="D9" s="76"/>
      <c r="E9" s="79"/>
      <c r="F9" s="146" t="s">
        <v>986</v>
      </c>
      <c r="G9" s="217">
        <v>352519</v>
      </c>
      <c r="K9" s="223" t="s">
        <v>990</v>
      </c>
      <c r="L9" s="224">
        <v>35007</v>
      </c>
      <c r="O9" s="28" t="s">
        <v>990</v>
      </c>
      <c r="P9" s="248">
        <v>35007</v>
      </c>
    </row>
    <row r="10" spans="1:16" ht="15.75" thickBot="1">
      <c r="A10" s="218">
        <v>43222</v>
      </c>
      <c r="B10" s="84" t="s">
        <v>649</v>
      </c>
      <c r="C10" s="125">
        <v>15205</v>
      </c>
      <c r="D10" s="76"/>
      <c r="E10" s="79"/>
      <c r="F10" s="146" t="s">
        <v>985</v>
      </c>
      <c r="G10" s="217">
        <v>201440</v>
      </c>
      <c r="K10" s="223" t="s">
        <v>991</v>
      </c>
      <c r="L10" s="224">
        <v>300000</v>
      </c>
      <c r="O10" s="28" t="s">
        <v>986</v>
      </c>
      <c r="P10" s="248">
        <v>352519</v>
      </c>
    </row>
    <row r="11" spans="1:16" ht="15.75" thickBot="1">
      <c r="A11" s="218">
        <v>43133</v>
      </c>
      <c r="B11" s="84" t="s">
        <v>649</v>
      </c>
      <c r="C11" s="125">
        <v>24327</v>
      </c>
      <c r="D11" s="76"/>
      <c r="E11" s="79"/>
      <c r="F11" s="146" t="s">
        <v>988</v>
      </c>
      <c r="G11" s="217">
        <v>172406</v>
      </c>
      <c r="K11" s="223" t="s">
        <v>992</v>
      </c>
      <c r="L11" s="224">
        <v>643835</v>
      </c>
      <c r="O11" s="28" t="s">
        <v>985</v>
      </c>
      <c r="P11" s="248">
        <v>201440</v>
      </c>
    </row>
    <row r="12" spans="1:16" ht="15.75" thickBot="1">
      <c r="A12" s="87" t="s">
        <v>989</v>
      </c>
      <c r="B12" s="84" t="s">
        <v>649</v>
      </c>
      <c r="C12" s="125">
        <v>50549</v>
      </c>
      <c r="D12" s="76"/>
      <c r="E12" s="79"/>
      <c r="F12" s="216">
        <v>43133</v>
      </c>
      <c r="G12" s="217">
        <v>24327</v>
      </c>
      <c r="K12" s="223" t="s">
        <v>993</v>
      </c>
      <c r="L12" s="224">
        <v>564030</v>
      </c>
      <c r="O12" s="28" t="s">
        <v>988</v>
      </c>
      <c r="P12" s="248">
        <v>172406</v>
      </c>
    </row>
    <row r="13" spans="1:16" ht="15.75" thickBot="1">
      <c r="A13" s="87" t="s">
        <v>990</v>
      </c>
      <c r="B13" s="84" t="s">
        <v>649</v>
      </c>
      <c r="C13" s="125">
        <v>15106</v>
      </c>
      <c r="D13" s="76"/>
      <c r="E13" s="79"/>
      <c r="F13" s="216">
        <v>43222</v>
      </c>
      <c r="G13" s="217">
        <v>15205</v>
      </c>
      <c r="K13" s="223" t="s">
        <v>994</v>
      </c>
      <c r="L13" s="224">
        <v>720257</v>
      </c>
      <c r="O13" s="28" t="s">
        <v>991</v>
      </c>
      <c r="P13" s="248">
        <v>300000</v>
      </c>
    </row>
    <row r="14" spans="1:16" ht="15.75" thickBot="1">
      <c r="A14" s="87" t="s">
        <v>990</v>
      </c>
      <c r="B14" s="84" t="s">
        <v>649</v>
      </c>
      <c r="C14" s="125">
        <v>19901</v>
      </c>
      <c r="D14" s="76"/>
      <c r="E14" s="79"/>
      <c r="F14" s="216">
        <v>43345</v>
      </c>
      <c r="G14" s="217">
        <v>15205</v>
      </c>
      <c r="K14" s="225">
        <v>43133</v>
      </c>
      <c r="L14" s="224">
        <v>24327</v>
      </c>
      <c r="O14" s="28" t="s">
        <v>992</v>
      </c>
      <c r="P14" s="248">
        <v>643835</v>
      </c>
    </row>
    <row r="15" spans="1:16" ht="15.75" thickBot="1">
      <c r="A15" s="218">
        <v>43345</v>
      </c>
      <c r="B15" s="84" t="s">
        <v>649</v>
      </c>
      <c r="C15" s="125">
        <v>15205</v>
      </c>
      <c r="D15" s="76"/>
      <c r="E15" s="79"/>
      <c r="F15" s="146" t="s">
        <v>989</v>
      </c>
      <c r="G15" s="217">
        <v>50549</v>
      </c>
      <c r="K15" s="225">
        <v>43222</v>
      </c>
      <c r="L15" s="224">
        <v>15205</v>
      </c>
      <c r="O15" s="28" t="s">
        <v>993</v>
      </c>
      <c r="P15" s="248">
        <v>564030</v>
      </c>
    </row>
    <row r="16" spans="1:16" ht="15.75" thickBot="1">
      <c r="A16" s="87" t="s">
        <v>991</v>
      </c>
      <c r="B16" s="84" t="s">
        <v>649</v>
      </c>
      <c r="C16" s="125">
        <v>300000</v>
      </c>
      <c r="D16" s="76"/>
      <c r="E16" s="79"/>
      <c r="F16" s="146" t="s">
        <v>990</v>
      </c>
      <c r="G16" s="217">
        <v>35007</v>
      </c>
      <c r="K16" s="225">
        <v>43345</v>
      </c>
      <c r="L16" s="224">
        <v>15205</v>
      </c>
      <c r="O16" s="28" t="s">
        <v>994</v>
      </c>
      <c r="P16" s="248">
        <v>720257</v>
      </c>
    </row>
    <row r="17" spans="1:16" ht="15.75" thickBot="1">
      <c r="A17" s="87" t="s">
        <v>992</v>
      </c>
      <c r="B17" s="84" t="s">
        <v>649</v>
      </c>
      <c r="C17" s="125">
        <v>150000</v>
      </c>
      <c r="D17" s="76"/>
      <c r="E17" s="79"/>
      <c r="F17" s="146" t="s">
        <v>991</v>
      </c>
      <c r="G17" s="217">
        <v>300000</v>
      </c>
      <c r="K17" s="223" t="s">
        <v>995</v>
      </c>
      <c r="L17" s="224">
        <v>2368415</v>
      </c>
      <c r="O17" s="249">
        <v>43133</v>
      </c>
      <c r="P17" s="248">
        <v>24327</v>
      </c>
    </row>
    <row r="18" spans="1:16" ht="15.75" thickBot="1">
      <c r="A18" s="87" t="s">
        <v>992</v>
      </c>
      <c r="B18" s="84" t="s">
        <v>649</v>
      </c>
      <c r="C18" s="125">
        <v>330553</v>
      </c>
      <c r="D18" s="76"/>
      <c r="E18" s="79"/>
      <c r="F18" s="146" t="s">
        <v>992</v>
      </c>
      <c r="G18" s="217">
        <v>643835</v>
      </c>
      <c r="O18" s="249">
        <v>43222</v>
      </c>
      <c r="P18" s="248">
        <v>15205</v>
      </c>
    </row>
    <row r="19" spans="1:16" ht="15.75" thickBot="1">
      <c r="A19" s="87" t="s">
        <v>992</v>
      </c>
      <c r="B19" s="84" t="s">
        <v>649</v>
      </c>
      <c r="C19" s="125">
        <v>163282</v>
      </c>
      <c r="D19" s="76"/>
      <c r="E19" s="79"/>
      <c r="F19" s="146" t="s">
        <v>993</v>
      </c>
      <c r="G19" s="217">
        <v>564030</v>
      </c>
      <c r="O19" s="249">
        <v>43345</v>
      </c>
      <c r="P19" s="248">
        <v>15205</v>
      </c>
    </row>
    <row r="20" spans="1:16" ht="15.75" thickBot="1">
      <c r="A20" s="87" t="s">
        <v>993</v>
      </c>
      <c r="B20" s="84" t="s">
        <v>649</v>
      </c>
      <c r="C20" s="125">
        <v>564030</v>
      </c>
      <c r="D20" s="76"/>
      <c r="E20" s="79"/>
      <c r="F20" s="146" t="s">
        <v>994</v>
      </c>
      <c r="G20" s="217">
        <v>720256</v>
      </c>
      <c r="O20" s="249">
        <v>43435</v>
      </c>
      <c r="P20" s="248">
        <v>240000</v>
      </c>
    </row>
    <row r="21" spans="1:16" ht="15.75" thickBot="1">
      <c r="A21" s="87" t="s">
        <v>994</v>
      </c>
      <c r="B21" s="84" t="s">
        <v>649</v>
      </c>
      <c r="C21" s="125">
        <v>503599</v>
      </c>
      <c r="D21" s="76"/>
      <c r="E21" s="79"/>
      <c r="F21" s="146" t="s">
        <v>995</v>
      </c>
      <c r="G21" s="217">
        <v>3334777</v>
      </c>
      <c r="O21" s="28" t="s">
        <v>995</v>
      </c>
      <c r="P21" s="248">
        <v>3334780</v>
      </c>
    </row>
    <row r="22" spans="1:16" ht="15.75" thickBot="1">
      <c r="A22" s="87" t="s">
        <v>994</v>
      </c>
      <c r="B22" s="84" t="s">
        <v>649</v>
      </c>
      <c r="C22" s="125">
        <v>15218</v>
      </c>
      <c r="D22" s="76"/>
      <c r="E22" s="76"/>
      <c r="F22" s="76"/>
      <c r="G22" s="76"/>
    </row>
    <row r="23" spans="1:16" ht="15.75" thickBot="1">
      <c r="A23" s="219" t="s">
        <v>994</v>
      </c>
      <c r="B23" s="84" t="s">
        <v>649</v>
      </c>
      <c r="C23" s="125">
        <v>201440</v>
      </c>
      <c r="D23" s="76"/>
      <c r="E23" s="76"/>
      <c r="F23" s="76"/>
      <c r="G23" s="220"/>
    </row>
    <row r="24" spans="1:16" ht="15.75" thickBot="1">
      <c r="A24" s="76"/>
      <c r="B24" s="76"/>
      <c r="C24" s="76"/>
      <c r="D24" s="76"/>
      <c r="E24" s="76"/>
      <c r="F24" s="76"/>
      <c r="G24" s="76"/>
    </row>
  </sheetData>
  <mergeCells count="3">
    <mergeCell ref="A1:G1"/>
    <mergeCell ref="A2:G2"/>
    <mergeCell ref="F4:G4"/>
  </mergeCells>
  <phoneticPr fontId="9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2ABEB-28B1-45E8-A018-64C13FD2AC60}">
  <dimension ref="A1:N18"/>
  <sheetViews>
    <sheetView workbookViewId="0">
      <selection activeCell="M4" sqref="M4"/>
    </sheetView>
  </sheetViews>
  <sheetFormatPr defaultRowHeight="15"/>
  <cols>
    <col min="2" max="2" width="15.85546875" customWidth="1"/>
    <col min="7" max="7" width="14" customWidth="1"/>
    <col min="10" max="10" width="12.42578125" bestFit="1" customWidth="1"/>
    <col min="11" max="11" width="12.140625" bestFit="1" customWidth="1"/>
    <col min="13" max="13" width="13.140625" bestFit="1" customWidth="1"/>
    <col min="14" max="14" width="12.140625" bestFit="1" customWidth="1"/>
  </cols>
  <sheetData>
    <row r="1" spans="1:14" ht="19.5" thickBot="1">
      <c r="A1" s="258" t="s">
        <v>997</v>
      </c>
      <c r="B1" s="259"/>
      <c r="C1" s="259"/>
      <c r="D1" s="260"/>
      <c r="E1" s="76"/>
      <c r="F1" s="76"/>
      <c r="G1" s="76"/>
    </row>
    <row r="2" spans="1:14" ht="15.75" thickBot="1">
      <c r="A2" s="261" t="s">
        <v>998</v>
      </c>
      <c r="B2" s="262"/>
      <c r="C2" s="262"/>
      <c r="D2" s="263"/>
      <c r="E2" s="76"/>
      <c r="F2" s="226" t="s">
        <v>999</v>
      </c>
      <c r="G2" s="76"/>
      <c r="J2" s="221" t="s">
        <v>313</v>
      </c>
      <c r="K2" t="s">
        <v>1002</v>
      </c>
    </row>
    <row r="3" spans="1:14" ht="15.75" thickBot="1">
      <c r="A3" s="75"/>
      <c r="B3" s="75"/>
      <c r="C3" s="75"/>
      <c r="D3" s="75"/>
      <c r="E3" s="76"/>
      <c r="F3" s="76"/>
      <c r="G3" s="76"/>
    </row>
    <row r="4" spans="1:14" ht="30.75" thickBot="1">
      <c r="A4" s="227" t="s">
        <v>546</v>
      </c>
      <c r="B4" s="228" t="s">
        <v>262</v>
      </c>
      <c r="C4" s="228" t="s">
        <v>313</v>
      </c>
      <c r="D4" s="228" t="s">
        <v>1000</v>
      </c>
      <c r="E4" s="76"/>
      <c r="F4" s="229" t="s">
        <v>546</v>
      </c>
      <c r="G4" s="230" t="s">
        <v>1001</v>
      </c>
      <c r="J4" s="221" t="s">
        <v>546</v>
      </c>
      <c r="K4" t="s">
        <v>1001</v>
      </c>
      <c r="M4" s="221" t="s">
        <v>996</v>
      </c>
      <c r="N4" t="s">
        <v>1001</v>
      </c>
    </row>
    <row r="5" spans="1:14" ht="15.75" thickBot="1">
      <c r="A5" s="87" t="s">
        <v>632</v>
      </c>
      <c r="B5" s="232">
        <v>16753</v>
      </c>
      <c r="C5" s="84" t="s">
        <v>1002</v>
      </c>
      <c r="D5" s="84" t="s">
        <v>1003</v>
      </c>
      <c r="E5" s="76"/>
      <c r="F5" s="233" t="s">
        <v>1004</v>
      </c>
      <c r="G5" s="234">
        <v>8120</v>
      </c>
      <c r="J5" s="28" t="s">
        <v>631</v>
      </c>
      <c r="K5" s="231">
        <v>9339</v>
      </c>
      <c r="M5" s="28" t="s">
        <v>1004</v>
      </c>
      <c r="N5" s="231">
        <v>8120</v>
      </c>
    </row>
    <row r="6" spans="1:14" ht="15.75" thickBot="1">
      <c r="A6" s="87" t="s">
        <v>631</v>
      </c>
      <c r="B6" s="232">
        <v>14808</v>
      </c>
      <c r="C6" s="84" t="s">
        <v>1005</v>
      </c>
      <c r="D6" s="84" t="s">
        <v>1006</v>
      </c>
      <c r="E6" s="76"/>
      <c r="F6" s="233" t="s">
        <v>631</v>
      </c>
      <c r="G6" s="234">
        <v>24147</v>
      </c>
      <c r="J6" s="28" t="s">
        <v>1008</v>
      </c>
      <c r="K6" s="231">
        <v>7433</v>
      </c>
      <c r="M6" s="28" t="s">
        <v>631</v>
      </c>
      <c r="N6" s="231">
        <v>24147</v>
      </c>
    </row>
    <row r="7" spans="1:14" ht="15.75" thickBot="1">
      <c r="A7" s="87" t="s">
        <v>563</v>
      </c>
      <c r="B7" s="232">
        <v>10644</v>
      </c>
      <c r="C7" s="84" t="s">
        <v>1002</v>
      </c>
      <c r="D7" s="84" t="s">
        <v>1007</v>
      </c>
      <c r="E7" s="76"/>
      <c r="F7" s="233" t="s">
        <v>1008</v>
      </c>
      <c r="G7" s="234">
        <v>18036</v>
      </c>
      <c r="J7" s="28" t="s">
        <v>632</v>
      </c>
      <c r="K7" s="231">
        <v>16753</v>
      </c>
      <c r="M7" s="28" t="s">
        <v>1008</v>
      </c>
      <c r="N7" s="231">
        <v>18036</v>
      </c>
    </row>
    <row r="8" spans="1:14" ht="15.75" thickBot="1">
      <c r="A8" s="87" t="s">
        <v>1008</v>
      </c>
      <c r="B8" s="232">
        <v>1390</v>
      </c>
      <c r="C8" s="84" t="s">
        <v>1005</v>
      </c>
      <c r="D8" s="84" t="s">
        <v>1003</v>
      </c>
      <c r="E8" s="76"/>
      <c r="F8" s="233" t="s">
        <v>632</v>
      </c>
      <c r="G8" s="234">
        <v>45370</v>
      </c>
      <c r="J8" s="28" t="s">
        <v>563</v>
      </c>
      <c r="K8" s="231">
        <v>42384</v>
      </c>
      <c r="M8" s="28" t="s">
        <v>632</v>
      </c>
      <c r="N8" s="231">
        <v>45370</v>
      </c>
    </row>
    <row r="9" spans="1:14" ht="15.75" thickBot="1">
      <c r="A9" s="87" t="s">
        <v>1004</v>
      </c>
      <c r="B9" s="232">
        <v>4865</v>
      </c>
      <c r="C9" s="84" t="s">
        <v>1005</v>
      </c>
      <c r="D9" s="84" t="s">
        <v>1006</v>
      </c>
      <c r="E9" s="76"/>
      <c r="F9" s="235" t="s">
        <v>563</v>
      </c>
      <c r="G9" s="236">
        <v>57251</v>
      </c>
      <c r="J9" s="28" t="s">
        <v>995</v>
      </c>
      <c r="K9" s="231">
        <v>75909</v>
      </c>
      <c r="M9" s="28" t="s">
        <v>563</v>
      </c>
      <c r="N9" s="231">
        <v>57251</v>
      </c>
    </row>
    <row r="10" spans="1:14" ht="30.75" thickBot="1">
      <c r="A10" s="87" t="s">
        <v>563</v>
      </c>
      <c r="B10" s="232">
        <v>12438</v>
      </c>
      <c r="C10" s="84" t="s">
        <v>1002</v>
      </c>
      <c r="D10" s="84" t="s">
        <v>1009</v>
      </c>
      <c r="E10" s="76"/>
      <c r="F10" s="237" t="s">
        <v>995</v>
      </c>
      <c r="G10" s="238">
        <v>152924</v>
      </c>
      <c r="M10" s="28" t="s">
        <v>995</v>
      </c>
      <c r="N10" s="231">
        <v>152924</v>
      </c>
    </row>
    <row r="11" spans="1:14" ht="15.75" thickBot="1">
      <c r="A11" s="87" t="s">
        <v>631</v>
      </c>
      <c r="B11" s="232">
        <v>9339</v>
      </c>
      <c r="C11" s="84" t="s">
        <v>1002</v>
      </c>
      <c r="D11" s="84" t="s">
        <v>1007</v>
      </c>
      <c r="E11" s="76"/>
      <c r="F11" s="76"/>
      <c r="G11" s="76"/>
    </row>
    <row r="12" spans="1:14" ht="15.75" thickBot="1">
      <c r="A12" s="87" t="s">
        <v>632</v>
      </c>
      <c r="B12" s="232">
        <v>18919</v>
      </c>
      <c r="C12" s="84" t="s">
        <v>1005</v>
      </c>
      <c r="D12" s="84" t="s">
        <v>1003</v>
      </c>
      <c r="E12" s="76"/>
      <c r="F12" s="76"/>
      <c r="G12" s="76"/>
    </row>
    <row r="13" spans="1:14" ht="15.75" thickBot="1">
      <c r="A13" s="87" t="s">
        <v>1008</v>
      </c>
      <c r="B13" s="232">
        <v>9213</v>
      </c>
      <c r="C13" s="84" t="s">
        <v>1005</v>
      </c>
      <c r="D13" s="84" t="s">
        <v>1006</v>
      </c>
      <c r="E13" s="76"/>
      <c r="F13" s="76"/>
      <c r="G13" s="76"/>
    </row>
    <row r="14" spans="1:14" ht="15.75" thickBot="1">
      <c r="A14" s="87" t="s">
        <v>1008</v>
      </c>
      <c r="B14" s="232">
        <v>7433</v>
      </c>
      <c r="C14" s="84" t="s">
        <v>1002</v>
      </c>
      <c r="D14" s="84" t="s">
        <v>1009</v>
      </c>
      <c r="E14" s="76"/>
      <c r="F14" s="76"/>
      <c r="G14" s="76"/>
    </row>
    <row r="15" spans="1:14" ht="15.75" thickBot="1">
      <c r="A15" s="87" t="s">
        <v>1004</v>
      </c>
      <c r="B15" s="232">
        <v>3255</v>
      </c>
      <c r="C15" s="84" t="s">
        <v>1005</v>
      </c>
      <c r="D15" s="84" t="s">
        <v>1007</v>
      </c>
      <c r="E15" s="76"/>
      <c r="F15" s="76"/>
      <c r="G15" s="76"/>
    </row>
    <row r="16" spans="1:14" ht="15.75" thickBot="1">
      <c r="A16" s="87" t="s">
        <v>563</v>
      </c>
      <c r="B16" s="232">
        <v>14867</v>
      </c>
      <c r="C16" s="84" t="s">
        <v>1005</v>
      </c>
      <c r="D16" s="84" t="s">
        <v>1003</v>
      </c>
      <c r="E16" s="76"/>
      <c r="F16" s="76"/>
      <c r="G16" s="76"/>
    </row>
    <row r="17" spans="1:7" ht="15.75" thickBot="1">
      <c r="A17" s="87" t="s">
        <v>563</v>
      </c>
      <c r="B17" s="232">
        <v>19302</v>
      </c>
      <c r="C17" s="84" t="s">
        <v>1002</v>
      </c>
      <c r="D17" s="84" t="s">
        <v>1006</v>
      </c>
      <c r="E17" s="76"/>
      <c r="F17" s="76"/>
      <c r="G17" s="76"/>
    </row>
    <row r="18" spans="1:7" ht="15.75" thickBot="1">
      <c r="A18" s="87" t="s">
        <v>632</v>
      </c>
      <c r="B18" s="232">
        <v>9698</v>
      </c>
      <c r="C18" s="84" t="s">
        <v>1005</v>
      </c>
      <c r="D18" s="84" t="s">
        <v>1009</v>
      </c>
      <c r="E18" s="76"/>
      <c r="F18" s="76"/>
      <c r="G18" s="76"/>
    </row>
  </sheetData>
  <mergeCells count="2">
    <mergeCell ref="A1:D1"/>
    <mergeCell ref="A2:D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86A4B-D1EA-456B-8277-BFF67D2E998D}">
  <dimension ref="A1:M36"/>
  <sheetViews>
    <sheetView tabSelected="1" workbookViewId="0">
      <selection activeCell="B36" sqref="B36"/>
    </sheetView>
  </sheetViews>
  <sheetFormatPr defaultRowHeight="15"/>
  <cols>
    <col min="11" max="11" width="10.28515625" customWidth="1"/>
    <col min="12" max="12" width="10.5703125" customWidth="1"/>
  </cols>
  <sheetData>
    <row r="1" spans="1:13" ht="19.5" thickBot="1">
      <c r="A1" s="258" t="s">
        <v>784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60"/>
    </row>
    <row r="2" spans="1:13" ht="15.75" thickBot="1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3" ht="15.75" thickBot="1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3" ht="21" thickBot="1">
      <c r="A4" s="292" t="s">
        <v>759</v>
      </c>
      <c r="B4" s="293"/>
      <c r="C4" s="293"/>
      <c r="D4" s="293"/>
      <c r="E4" s="293"/>
      <c r="F4" s="293"/>
      <c r="G4" s="293"/>
      <c r="H4" s="293"/>
      <c r="I4" s="294"/>
      <c r="J4" s="76"/>
      <c r="K4" s="76"/>
      <c r="L4" s="76"/>
      <c r="M4" s="76"/>
    </row>
    <row r="5" spans="1:13" ht="16.5" thickTop="1" thickBot="1">
      <c r="A5" s="76"/>
      <c r="B5" s="76"/>
      <c r="C5" s="76"/>
      <c r="D5" s="76"/>
      <c r="E5" s="76"/>
      <c r="F5" s="76"/>
      <c r="G5" s="76"/>
      <c r="H5" s="76"/>
      <c r="I5" s="76"/>
      <c r="J5" s="76"/>
      <c r="K5" s="75"/>
      <c r="L5" s="75"/>
      <c r="M5" s="75"/>
    </row>
    <row r="6" spans="1:13" ht="30.75" thickBot="1">
      <c r="A6" s="140" t="s">
        <v>785</v>
      </c>
      <c r="B6" s="140" t="s">
        <v>545</v>
      </c>
      <c r="C6" s="140" t="s">
        <v>728</v>
      </c>
      <c r="D6" s="140" t="s">
        <v>402</v>
      </c>
      <c r="E6" s="140" t="s">
        <v>786</v>
      </c>
      <c r="F6" s="140" t="s">
        <v>411</v>
      </c>
      <c r="G6" s="140" t="s">
        <v>787</v>
      </c>
      <c r="H6" s="140" t="s">
        <v>788</v>
      </c>
      <c r="I6" s="141" t="s">
        <v>789</v>
      </c>
      <c r="J6" s="79"/>
      <c r="K6" s="142" t="s">
        <v>728</v>
      </c>
      <c r="L6" s="142" t="s">
        <v>787</v>
      </c>
      <c r="M6" s="142" t="s">
        <v>788</v>
      </c>
    </row>
    <row r="7" spans="1:13" ht="30.75" thickBot="1">
      <c r="A7" s="143">
        <v>1</v>
      </c>
      <c r="B7" s="144" t="s">
        <v>790</v>
      </c>
      <c r="C7" s="144" t="s">
        <v>262</v>
      </c>
      <c r="D7" s="144" t="s">
        <v>791</v>
      </c>
      <c r="E7" s="144" t="s">
        <v>792</v>
      </c>
      <c r="F7" s="143">
        <v>15625</v>
      </c>
      <c r="G7" s="143">
        <v>100</v>
      </c>
      <c r="H7" s="143">
        <v>900</v>
      </c>
      <c r="I7" s="145">
        <v>100</v>
      </c>
      <c r="J7" s="79"/>
      <c r="K7" s="146" t="s">
        <v>262</v>
      </c>
      <c r="L7" s="147">
        <v>100</v>
      </c>
      <c r="M7" s="147">
        <v>900</v>
      </c>
    </row>
    <row r="8" spans="1:13" ht="15.75" thickBot="1">
      <c r="A8" s="148">
        <v>2</v>
      </c>
      <c r="B8" s="149" t="s">
        <v>793</v>
      </c>
      <c r="C8" s="149" t="s">
        <v>262</v>
      </c>
      <c r="D8" s="149" t="s">
        <v>794</v>
      </c>
      <c r="E8" s="149" t="s">
        <v>795</v>
      </c>
      <c r="F8" s="148">
        <v>12500</v>
      </c>
      <c r="G8" s="148">
        <v>100</v>
      </c>
      <c r="H8" s="148">
        <v>900</v>
      </c>
      <c r="I8" s="150">
        <v>200</v>
      </c>
      <c r="J8" s="79"/>
      <c r="K8" s="146" t="s">
        <v>796</v>
      </c>
      <c r="L8" s="147">
        <v>200</v>
      </c>
      <c r="M8" s="147">
        <v>800</v>
      </c>
    </row>
    <row r="9" spans="1:13" ht="15.75" thickBot="1">
      <c r="A9" s="143">
        <v>3</v>
      </c>
      <c r="B9" s="144" t="s">
        <v>797</v>
      </c>
      <c r="C9" s="144" t="s">
        <v>796</v>
      </c>
      <c r="D9" s="144" t="s">
        <v>791</v>
      </c>
      <c r="E9" s="144" t="s">
        <v>502</v>
      </c>
      <c r="F9" s="143">
        <v>8750</v>
      </c>
      <c r="G9" s="143">
        <v>200</v>
      </c>
      <c r="H9" s="143">
        <v>800</v>
      </c>
      <c r="I9" s="145">
        <v>100</v>
      </c>
      <c r="J9" s="79"/>
      <c r="K9" s="146" t="s">
        <v>798</v>
      </c>
      <c r="L9" s="147">
        <v>300</v>
      </c>
      <c r="M9" s="147">
        <v>700</v>
      </c>
    </row>
    <row r="10" spans="1:13" ht="15.75" thickBot="1">
      <c r="A10" s="148">
        <v>4</v>
      </c>
      <c r="B10" s="149" t="s">
        <v>799</v>
      </c>
      <c r="C10" s="149" t="s">
        <v>798</v>
      </c>
      <c r="D10" s="149" t="s">
        <v>791</v>
      </c>
      <c r="E10" s="149" t="s">
        <v>503</v>
      </c>
      <c r="F10" s="148">
        <v>15000</v>
      </c>
      <c r="G10" s="148">
        <v>300</v>
      </c>
      <c r="H10" s="148">
        <v>700</v>
      </c>
      <c r="I10" s="150">
        <v>100</v>
      </c>
      <c r="J10" s="79"/>
      <c r="K10" s="146" t="s">
        <v>72</v>
      </c>
      <c r="L10" s="147">
        <v>400</v>
      </c>
      <c r="M10" s="147">
        <v>600</v>
      </c>
    </row>
    <row r="11" spans="1:13" ht="15.75" thickBot="1">
      <c r="A11" s="143">
        <v>5</v>
      </c>
      <c r="B11" s="144" t="s">
        <v>800</v>
      </c>
      <c r="C11" s="144" t="s">
        <v>798</v>
      </c>
      <c r="D11" s="144" t="s">
        <v>791</v>
      </c>
      <c r="E11" s="144" t="s">
        <v>801</v>
      </c>
      <c r="F11" s="143">
        <v>8875</v>
      </c>
      <c r="G11" s="143">
        <v>300</v>
      </c>
      <c r="H11" s="143">
        <v>700</v>
      </c>
      <c r="I11" s="145">
        <v>100</v>
      </c>
      <c r="J11" s="79"/>
      <c r="K11" s="146" t="s">
        <v>802</v>
      </c>
      <c r="L11" s="147">
        <v>500</v>
      </c>
      <c r="M11" s="147">
        <v>500</v>
      </c>
    </row>
    <row r="12" spans="1:13" ht="15.75" thickBot="1">
      <c r="A12" s="148">
        <v>6</v>
      </c>
      <c r="B12" s="149" t="s">
        <v>803</v>
      </c>
      <c r="C12" s="149" t="s">
        <v>798</v>
      </c>
      <c r="D12" s="149" t="s">
        <v>791</v>
      </c>
      <c r="E12" s="149" t="s">
        <v>804</v>
      </c>
      <c r="F12" s="148">
        <v>8875</v>
      </c>
      <c r="G12" s="148">
        <v>300</v>
      </c>
      <c r="H12" s="148">
        <v>700</v>
      </c>
      <c r="I12" s="150">
        <v>100</v>
      </c>
      <c r="J12" s="79"/>
      <c r="K12" s="146" t="s">
        <v>805</v>
      </c>
      <c r="L12" s="147">
        <v>600</v>
      </c>
      <c r="M12" s="147">
        <v>400</v>
      </c>
    </row>
    <row r="13" spans="1:13" ht="15.75" thickBot="1">
      <c r="A13" s="143">
        <v>7</v>
      </c>
      <c r="B13" s="144" t="s">
        <v>806</v>
      </c>
      <c r="C13" s="144" t="s">
        <v>262</v>
      </c>
      <c r="D13" s="144" t="s">
        <v>791</v>
      </c>
      <c r="E13" s="144" t="s">
        <v>807</v>
      </c>
      <c r="F13" s="143">
        <v>10625</v>
      </c>
      <c r="G13" s="143">
        <v>100</v>
      </c>
      <c r="H13" s="143">
        <v>900</v>
      </c>
      <c r="I13" s="145">
        <v>100</v>
      </c>
      <c r="J13" s="79"/>
      <c r="K13" s="146" t="s">
        <v>808</v>
      </c>
      <c r="L13" s="147">
        <v>700</v>
      </c>
      <c r="M13" s="147">
        <v>300</v>
      </c>
    </row>
    <row r="14" spans="1:13" ht="30.75" thickBot="1">
      <c r="A14" s="148">
        <v>8</v>
      </c>
      <c r="B14" s="149" t="s">
        <v>809</v>
      </c>
      <c r="C14" s="149" t="s">
        <v>796</v>
      </c>
      <c r="D14" s="149" t="s">
        <v>794</v>
      </c>
      <c r="E14" s="149" t="s">
        <v>810</v>
      </c>
      <c r="F14" s="148">
        <v>11250</v>
      </c>
      <c r="G14" s="148">
        <v>200</v>
      </c>
      <c r="H14" s="148">
        <v>800</v>
      </c>
      <c r="I14" s="150">
        <v>200</v>
      </c>
      <c r="J14" s="79"/>
      <c r="K14" s="146" t="s">
        <v>811</v>
      </c>
      <c r="L14" s="147">
        <v>800</v>
      </c>
      <c r="M14" s="147">
        <v>200</v>
      </c>
    </row>
    <row r="15" spans="1:13" ht="15.75" thickBot="1">
      <c r="A15" s="143">
        <v>9</v>
      </c>
      <c r="B15" s="144" t="s">
        <v>812</v>
      </c>
      <c r="C15" s="144" t="s">
        <v>72</v>
      </c>
      <c r="D15" s="144" t="s">
        <v>813</v>
      </c>
      <c r="E15" s="144" t="s">
        <v>508</v>
      </c>
      <c r="F15" s="143">
        <v>10625</v>
      </c>
      <c r="G15" s="143">
        <v>400</v>
      </c>
      <c r="H15" s="143">
        <v>600</v>
      </c>
      <c r="I15" s="145">
        <v>300</v>
      </c>
      <c r="J15" s="76"/>
      <c r="K15" s="76"/>
      <c r="L15" s="76"/>
      <c r="M15" s="76"/>
    </row>
    <row r="16" spans="1:13" ht="15.75" thickBot="1">
      <c r="A16" s="148">
        <v>10</v>
      </c>
      <c r="B16" s="149" t="s">
        <v>814</v>
      </c>
      <c r="C16" s="149" t="s">
        <v>802</v>
      </c>
      <c r="D16" s="149" t="s">
        <v>791</v>
      </c>
      <c r="E16" s="149" t="s">
        <v>815</v>
      </c>
      <c r="F16" s="148">
        <v>15000</v>
      </c>
      <c r="G16" s="148">
        <v>500</v>
      </c>
      <c r="H16" s="148">
        <v>500</v>
      </c>
      <c r="I16" s="150">
        <v>100</v>
      </c>
      <c r="J16" s="76"/>
      <c r="K16" s="76"/>
      <c r="L16" s="76"/>
      <c r="M16" s="76"/>
    </row>
    <row r="17" spans="1:13" ht="15.75" thickBot="1">
      <c r="A17" s="143">
        <v>11</v>
      </c>
      <c r="B17" s="144" t="s">
        <v>816</v>
      </c>
      <c r="C17" s="144" t="s">
        <v>72</v>
      </c>
      <c r="D17" s="144" t="s">
        <v>794</v>
      </c>
      <c r="E17" s="144" t="s">
        <v>817</v>
      </c>
      <c r="F17" s="143">
        <v>13750</v>
      </c>
      <c r="G17" s="143">
        <v>400</v>
      </c>
      <c r="H17" s="143">
        <v>600</v>
      </c>
      <c r="I17" s="145">
        <v>200</v>
      </c>
      <c r="J17" s="76"/>
      <c r="K17" s="76"/>
      <c r="L17" s="76"/>
      <c r="M17" s="76"/>
    </row>
    <row r="18" spans="1:13" ht="15.75" thickBot="1">
      <c r="A18" s="148">
        <v>12</v>
      </c>
      <c r="B18" s="149" t="s">
        <v>818</v>
      </c>
      <c r="C18" s="149" t="s">
        <v>805</v>
      </c>
      <c r="D18" s="149" t="s">
        <v>509</v>
      </c>
      <c r="E18" s="149" t="s">
        <v>819</v>
      </c>
      <c r="F18" s="148">
        <v>35000</v>
      </c>
      <c r="G18" s="148">
        <v>600</v>
      </c>
      <c r="H18" s="148">
        <v>400</v>
      </c>
      <c r="I18" s="150">
        <v>400</v>
      </c>
      <c r="J18" s="76"/>
      <c r="K18" s="75"/>
      <c r="L18" s="75"/>
      <c r="M18" s="76"/>
    </row>
    <row r="19" spans="1:13" ht="15.75" thickBot="1">
      <c r="A19" s="143">
        <v>13</v>
      </c>
      <c r="B19" s="144" t="s">
        <v>820</v>
      </c>
      <c r="C19" s="144" t="s">
        <v>808</v>
      </c>
      <c r="D19" s="144" t="s">
        <v>791</v>
      </c>
      <c r="E19" s="144" t="s">
        <v>815</v>
      </c>
      <c r="F19" s="143">
        <v>10625</v>
      </c>
      <c r="G19" s="143">
        <v>700</v>
      </c>
      <c r="H19" s="143">
        <v>300</v>
      </c>
      <c r="I19" s="145">
        <v>100</v>
      </c>
      <c r="J19" s="79"/>
      <c r="K19" s="151" t="s">
        <v>402</v>
      </c>
      <c r="L19" s="151" t="s">
        <v>789</v>
      </c>
      <c r="M19" s="76"/>
    </row>
    <row r="20" spans="1:13" ht="15.75" thickBot="1">
      <c r="A20" s="148">
        <v>14</v>
      </c>
      <c r="B20" s="149" t="s">
        <v>821</v>
      </c>
      <c r="C20" s="149" t="s">
        <v>808</v>
      </c>
      <c r="D20" s="149" t="s">
        <v>791</v>
      </c>
      <c r="E20" s="149" t="s">
        <v>822</v>
      </c>
      <c r="F20" s="148">
        <v>10625</v>
      </c>
      <c r="G20" s="148">
        <v>700</v>
      </c>
      <c r="H20" s="148">
        <v>300</v>
      </c>
      <c r="I20" s="150">
        <v>100</v>
      </c>
      <c r="J20" s="79"/>
      <c r="K20" s="146" t="s">
        <v>791</v>
      </c>
      <c r="L20" s="147">
        <v>100</v>
      </c>
      <c r="M20" s="76"/>
    </row>
    <row r="21" spans="1:13" ht="15.75" thickBot="1">
      <c r="A21" s="143">
        <v>15</v>
      </c>
      <c r="B21" s="144" t="s">
        <v>823</v>
      </c>
      <c r="C21" s="144" t="s">
        <v>802</v>
      </c>
      <c r="D21" s="144" t="s">
        <v>794</v>
      </c>
      <c r="E21" s="144" t="s">
        <v>795</v>
      </c>
      <c r="F21" s="143">
        <v>11250</v>
      </c>
      <c r="G21" s="143">
        <v>500</v>
      </c>
      <c r="H21" s="143">
        <v>500</v>
      </c>
      <c r="I21" s="145">
        <v>200</v>
      </c>
      <c r="J21" s="79"/>
      <c r="K21" s="146" t="s">
        <v>794</v>
      </c>
      <c r="L21" s="147">
        <v>200</v>
      </c>
      <c r="M21" s="76"/>
    </row>
    <row r="22" spans="1:13" ht="15.75" thickBot="1">
      <c r="A22" s="148">
        <v>16</v>
      </c>
      <c r="B22" s="149" t="s">
        <v>824</v>
      </c>
      <c r="C22" s="149" t="s">
        <v>802</v>
      </c>
      <c r="D22" s="149" t="s">
        <v>813</v>
      </c>
      <c r="E22" s="149" t="s">
        <v>825</v>
      </c>
      <c r="F22" s="148">
        <v>11250</v>
      </c>
      <c r="G22" s="148">
        <v>500</v>
      </c>
      <c r="H22" s="148">
        <v>500</v>
      </c>
      <c r="I22" s="150">
        <v>300</v>
      </c>
      <c r="J22" s="79"/>
      <c r="K22" s="146" t="s">
        <v>813</v>
      </c>
      <c r="L22" s="147">
        <v>300</v>
      </c>
      <c r="M22" s="76"/>
    </row>
    <row r="23" spans="1:13" ht="15.75" thickBot="1">
      <c r="A23" s="152">
        <v>17</v>
      </c>
      <c r="B23" s="153" t="s">
        <v>826</v>
      </c>
      <c r="C23" s="153" t="s">
        <v>796</v>
      </c>
      <c r="D23" s="153" t="s">
        <v>791</v>
      </c>
      <c r="E23" s="153" t="s">
        <v>801</v>
      </c>
      <c r="F23" s="152">
        <v>7500</v>
      </c>
      <c r="G23" s="143">
        <v>200</v>
      </c>
      <c r="H23" s="152">
        <v>800</v>
      </c>
      <c r="I23" s="154">
        <v>100</v>
      </c>
      <c r="J23" s="79"/>
      <c r="K23" s="146" t="s">
        <v>509</v>
      </c>
      <c r="L23" s="147">
        <v>400</v>
      </c>
      <c r="M23" s="76"/>
    </row>
    <row r="24" spans="1:13" ht="15.75" thickBot="1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</row>
    <row r="25" spans="1:13" ht="15.75" thickBot="1">
      <c r="A25" s="155" t="s">
        <v>827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</row>
    <row r="26" spans="1:13" ht="15.75" thickBot="1">
      <c r="A26" s="102" t="s">
        <v>612</v>
      </c>
      <c r="B26" s="102" t="s">
        <v>262</v>
      </c>
      <c r="C26" s="156">
        <f>COUNTIF(C7:C23,"Sales")</f>
        <v>3</v>
      </c>
      <c r="D26" s="102" t="s">
        <v>796</v>
      </c>
      <c r="E26" s="76"/>
      <c r="F26" s="156">
        <f>COUNTIF(C7:C23,"Mktg")</f>
        <v>3</v>
      </c>
      <c r="G26" s="76"/>
      <c r="H26" s="76"/>
      <c r="I26" s="76"/>
      <c r="J26" s="76"/>
      <c r="K26" s="76"/>
      <c r="L26" s="76"/>
      <c r="M26" s="76"/>
    </row>
    <row r="27" spans="1:13" ht="15.75" thickBot="1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</row>
    <row r="28" spans="1:13" ht="15.75" thickBot="1">
      <c r="A28" s="155" t="s">
        <v>828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</row>
    <row r="29" spans="1:13" ht="15.75" thickBot="1">
      <c r="A29" s="76" t="s">
        <v>612</v>
      </c>
      <c r="B29" s="103">
        <f ca="1">SUMIF(C7:F23,"Sales",F7:F23)</f>
        <v>38750</v>
      </c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</row>
    <row r="30" spans="1:13" ht="15.75" thickBot="1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</row>
    <row r="31" spans="1:13" ht="15.75" thickBot="1">
      <c r="A31" s="155" t="s">
        <v>829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</row>
    <row r="32" spans="1:13" ht="15.75" thickBot="1">
      <c r="A32" s="76" t="s">
        <v>612</v>
      </c>
      <c r="B32" s="103">
        <f>SUMIFS(F7:F23,C7:C23,"Sales",D7:D23,"north")</f>
        <v>26250</v>
      </c>
      <c r="C32" s="76"/>
      <c r="D32" s="105" t="s">
        <v>830</v>
      </c>
      <c r="E32" s="76"/>
      <c r="F32" s="76"/>
      <c r="G32" s="76"/>
      <c r="H32" s="76"/>
      <c r="I32" s="76"/>
      <c r="J32" s="76"/>
      <c r="K32" s="76"/>
      <c r="L32" s="76"/>
      <c r="M32" s="76"/>
    </row>
    <row r="33" spans="1:13" ht="15.75" thickBot="1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</row>
    <row r="34" spans="1:13" ht="15.75" thickBot="1">
      <c r="A34" s="155" t="s">
        <v>831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ht="15.75" thickBot="1">
      <c r="A35" s="76" t="s">
        <v>612</v>
      </c>
      <c r="B35" s="103">
        <f>COUNTIFS(C7:C23,"Sales",D7:D23,"north")</f>
        <v>2</v>
      </c>
      <c r="C35" s="76"/>
      <c r="D35" s="105" t="s">
        <v>832</v>
      </c>
      <c r="E35" s="76"/>
      <c r="F35" s="76"/>
      <c r="G35" s="76"/>
      <c r="H35" s="76"/>
      <c r="I35" s="76"/>
      <c r="J35" s="76"/>
      <c r="K35" s="76"/>
      <c r="L35" s="76"/>
      <c r="M35" s="76"/>
    </row>
    <row r="36" spans="1:13" ht="15.75" thickBot="1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</row>
  </sheetData>
  <mergeCells count="2">
    <mergeCell ref="A1:M1"/>
    <mergeCell ref="A4:I4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6B0B-AE53-4659-A6CF-B5914035829A}">
  <dimension ref="A1:J48"/>
  <sheetViews>
    <sheetView topLeftCell="A7" zoomScaleNormal="100" workbookViewId="0">
      <selection activeCell="F48" sqref="F48"/>
    </sheetView>
  </sheetViews>
  <sheetFormatPr defaultRowHeight="15"/>
  <cols>
    <col min="5" max="5" width="11.5703125" style="240" customWidth="1"/>
    <col min="6" max="6" width="11.5703125" customWidth="1"/>
  </cols>
  <sheetData>
    <row r="1" spans="1:10" ht="19.5" thickBot="1">
      <c r="A1" s="258" t="s">
        <v>833</v>
      </c>
      <c r="B1" s="259"/>
      <c r="C1" s="259"/>
      <c r="D1" s="259"/>
      <c r="E1" s="259"/>
      <c r="F1" s="259"/>
      <c r="G1" s="259"/>
      <c r="H1" s="259"/>
      <c r="I1" s="259"/>
      <c r="J1" s="260"/>
    </row>
    <row r="2" spans="1:10" ht="15.75" thickBot="1">
      <c r="A2" s="76"/>
      <c r="B2" s="76"/>
      <c r="C2" s="76"/>
      <c r="D2" s="76"/>
      <c r="E2" s="239"/>
      <c r="F2" s="76"/>
      <c r="G2" s="76"/>
      <c r="H2" s="76"/>
      <c r="I2" s="76"/>
      <c r="J2" s="76"/>
    </row>
    <row r="3" spans="1:10" ht="15.75" thickBot="1">
      <c r="A3" s="76"/>
      <c r="B3" s="76"/>
      <c r="C3" s="76"/>
      <c r="D3" s="76"/>
      <c r="E3" s="239"/>
      <c r="F3" s="76"/>
      <c r="G3" s="76"/>
      <c r="H3" s="76"/>
      <c r="I3" s="76"/>
      <c r="J3" s="76"/>
    </row>
    <row r="4" spans="1:10" ht="19.5" thickBot="1">
      <c r="A4" s="295" t="s">
        <v>759</v>
      </c>
      <c r="B4" s="296"/>
      <c r="C4" s="296"/>
      <c r="D4" s="296"/>
      <c r="E4" s="296"/>
      <c r="F4" s="297"/>
      <c r="G4" s="76"/>
      <c r="H4" s="76"/>
      <c r="I4" s="76"/>
      <c r="J4" s="76"/>
    </row>
    <row r="5" spans="1:10" ht="15.75" thickBot="1">
      <c r="A5" s="298" t="s">
        <v>834</v>
      </c>
      <c r="B5" s="299"/>
      <c r="C5" s="299"/>
      <c r="D5" s="299"/>
      <c r="E5" s="299"/>
      <c r="F5" s="300"/>
      <c r="G5" s="76"/>
      <c r="H5" s="76"/>
      <c r="I5" s="157" t="s">
        <v>835</v>
      </c>
      <c r="J5" s="76"/>
    </row>
    <row r="6" spans="1:10" ht="15.75" thickBot="1">
      <c r="A6" s="75"/>
      <c r="B6" s="75"/>
      <c r="C6" s="75"/>
      <c r="D6" s="75"/>
      <c r="E6" s="239"/>
      <c r="F6" s="76"/>
      <c r="G6" s="76"/>
      <c r="H6" s="75"/>
      <c r="I6" s="75"/>
      <c r="J6" s="76"/>
    </row>
    <row r="7" spans="1:10" ht="30.75" thickBot="1">
      <c r="A7" s="158" t="s">
        <v>836</v>
      </c>
      <c r="B7" s="158" t="s">
        <v>545</v>
      </c>
      <c r="C7" s="158" t="s">
        <v>728</v>
      </c>
      <c r="D7" s="159" t="s">
        <v>411</v>
      </c>
      <c r="E7" s="166" t="s">
        <v>837</v>
      </c>
      <c r="F7" s="160" t="s">
        <v>8</v>
      </c>
      <c r="G7" s="79"/>
      <c r="H7" s="158" t="s">
        <v>838</v>
      </c>
      <c r="I7" s="158" t="s">
        <v>839</v>
      </c>
      <c r="J7" s="161" t="s">
        <v>840</v>
      </c>
    </row>
    <row r="8" spans="1:10" ht="15.75" thickBot="1">
      <c r="A8" s="162">
        <v>1</v>
      </c>
      <c r="B8" s="163" t="s">
        <v>790</v>
      </c>
      <c r="C8" s="163" t="s">
        <v>262</v>
      </c>
      <c r="D8" s="164">
        <v>15625</v>
      </c>
      <c r="E8" s="167">
        <f>IF(D8&gt;=35001,40%,IF(D8&gt;=30001,35%,IF(D8&gt;=25001,30%,IF(D8&gt;=20001,25%,IF(D8&gt;=15001,20%,IF(D8&gt;=10001,15%,IF(D8&gt;=5001,10%,5%)))))))</f>
        <v>0.2</v>
      </c>
      <c r="F8" s="124" t="str">
        <f>IF(E8&gt;=40%,"H",IF(E8&gt;=35%,"G",IF(E8&gt;=30%,"F",IF(E8&gt;=25%,"E",IF(E8&gt;=20%,"D",IF(E8&gt;=15%,"C",IF(E8&gt;=10%,"B",IF(E8&gt;=5%,"A"," "))))))))</f>
        <v>D</v>
      </c>
      <c r="G8" s="79"/>
      <c r="H8" s="147">
        <v>1</v>
      </c>
      <c r="I8" s="165">
        <v>0.05</v>
      </c>
      <c r="J8" s="84" t="s">
        <v>481</v>
      </c>
    </row>
    <row r="9" spans="1:10" ht="15.75" thickBot="1">
      <c r="A9" s="162">
        <v>2</v>
      </c>
      <c r="B9" s="163" t="s">
        <v>793</v>
      </c>
      <c r="C9" s="163" t="s">
        <v>262</v>
      </c>
      <c r="D9" s="164">
        <v>12500</v>
      </c>
      <c r="E9" s="167">
        <f t="shared" ref="E9:E47" si="0">IF(D9&gt;=35001,40%,IF(D9&gt;=30001,35%,IF(D9&gt;=25001,30%,IF(D9&gt;=20001,25%,IF(D9&gt;=15001,20%,IF(D9&gt;=10001,15%,IF(D9&gt;=5001,10%,5%)))))))</f>
        <v>0.15</v>
      </c>
      <c r="F9" s="124" t="str">
        <f>IF(E9&gt;=40%,"H",IF(E9&gt;=35%,"G",IF(E9&gt;=30%,"F",IF(E9&gt;=25%,"E",IF(E9&gt;=20%,"D",IF(E9&gt;=15%,"C",IF(E9&gt;=10%,"B",IF(E9&gt;=5%,"A"))))))))</f>
        <v>C</v>
      </c>
      <c r="G9" s="79"/>
      <c r="H9" s="147">
        <v>5001</v>
      </c>
      <c r="I9" s="165">
        <v>0.1</v>
      </c>
      <c r="J9" s="84" t="s">
        <v>488</v>
      </c>
    </row>
    <row r="10" spans="1:10" ht="15.75" thickBot="1">
      <c r="A10" s="162">
        <v>3</v>
      </c>
      <c r="B10" s="163" t="s">
        <v>797</v>
      </c>
      <c r="C10" s="163" t="s">
        <v>796</v>
      </c>
      <c r="D10" s="164">
        <v>8750</v>
      </c>
      <c r="E10" s="167">
        <f t="shared" si="0"/>
        <v>0.1</v>
      </c>
      <c r="F10" s="124" t="str">
        <f>IF(E10&gt;=40%,"H",IF(E10&gt;=35%,"G",IF(E10&gt;=30%,"F",IF(E10&gt;=25%,"E",IF(E10&gt;=20%,"D",IF(E10&gt;=15%,"C",IF(E10&gt;=10%,"B",IF(E10&gt;=5%,"A"))))))))</f>
        <v>B</v>
      </c>
      <c r="G10" s="79"/>
      <c r="H10" s="147">
        <v>10001</v>
      </c>
      <c r="I10" s="165">
        <v>0.15</v>
      </c>
      <c r="J10" s="84" t="s">
        <v>490</v>
      </c>
    </row>
    <row r="11" spans="1:10" ht="15.75" thickBot="1">
      <c r="A11" s="162">
        <v>4</v>
      </c>
      <c r="B11" s="163" t="s">
        <v>799</v>
      </c>
      <c r="C11" s="163" t="s">
        <v>798</v>
      </c>
      <c r="D11" s="164">
        <v>15000</v>
      </c>
      <c r="E11" s="167">
        <f t="shared" si="0"/>
        <v>0.15</v>
      </c>
      <c r="F11" s="124" t="str">
        <f>IF(E11&gt;=40%,"H",IF(E11&gt;=35%,"G",IF(E11&gt;=30%,"F",IF(E11&gt;=25%,"E",IF(E11&gt;=20%,"D",IF(E11&gt;=15%,"C",IF(E11&gt;=10%,"B","A")))))))</f>
        <v>C</v>
      </c>
      <c r="G11" s="79"/>
      <c r="H11" s="147">
        <v>15001</v>
      </c>
      <c r="I11" s="165">
        <v>0.2</v>
      </c>
      <c r="J11" s="84" t="s">
        <v>483</v>
      </c>
    </row>
    <row r="12" spans="1:10" ht="15.75" thickBot="1">
      <c r="A12" s="162">
        <v>5</v>
      </c>
      <c r="B12" s="163" t="s">
        <v>800</v>
      </c>
      <c r="C12" s="163" t="s">
        <v>798</v>
      </c>
      <c r="D12" s="164">
        <v>8875</v>
      </c>
      <c r="E12" s="167">
        <f t="shared" si="0"/>
        <v>0.1</v>
      </c>
      <c r="F12" s="124" t="str">
        <f>IF(E12&gt;=40%,"H",IF(E12&gt;=35%,"G",IF(E12&gt;=30%,"F",IF(E12&gt;=25%,"E",IF(E12&gt;=20%,"D",IF(E12&gt;=15%,"C",IF(E12&gt;=10%,"B",IF(E12&gt;=5%,"A"))))))))</f>
        <v>B</v>
      </c>
      <c r="G12" s="79"/>
      <c r="H12" s="147">
        <v>20001</v>
      </c>
      <c r="I12" s="165">
        <v>0.25</v>
      </c>
      <c r="J12" s="84" t="s">
        <v>486</v>
      </c>
    </row>
    <row r="13" spans="1:10" ht="15.75" thickBot="1">
      <c r="A13" s="162">
        <v>6</v>
      </c>
      <c r="B13" s="163" t="s">
        <v>803</v>
      </c>
      <c r="C13" s="163" t="s">
        <v>798</v>
      </c>
      <c r="D13" s="164">
        <v>8875</v>
      </c>
      <c r="E13" s="167">
        <f t="shared" si="0"/>
        <v>0.1</v>
      </c>
      <c r="F13" s="124" t="str">
        <f>IF(E13&gt;=40%,"H",IF(E13&gt;=35%,"G",IF(E13&gt;=30%,"F",IF(E13&gt;=25%,"E",IF(E13&gt;=20%,"D",IF(E13&gt;=15%,"C",IF(E13&gt;=10%,"B",IF(E13&gt;=5,"A"))))))))</f>
        <v>B</v>
      </c>
      <c r="G13" s="79"/>
      <c r="H13" s="147">
        <v>25001</v>
      </c>
      <c r="I13" s="165">
        <v>0.3</v>
      </c>
      <c r="J13" s="84" t="s">
        <v>493</v>
      </c>
    </row>
    <row r="14" spans="1:10" ht="15.75" thickBot="1">
      <c r="A14" s="162">
        <v>7</v>
      </c>
      <c r="B14" s="163" t="s">
        <v>806</v>
      </c>
      <c r="C14" s="163" t="s">
        <v>262</v>
      </c>
      <c r="D14" s="164">
        <v>10625</v>
      </c>
      <c r="E14" s="167">
        <f t="shared" si="0"/>
        <v>0.15</v>
      </c>
      <c r="F14" s="124" t="str">
        <f>IF(E14&gt;=40%,"H",IF(E14&gt;=35%,"G",IF(E14&gt;=30%,"F",IF(E14&gt;=25%,"E",IF(E14&gt;=20%,"D",IF(E14&gt;=15%,"C",IF(E14&gt;=10%,"B",IF(E14&gt;=5%,"A"))))))))</f>
        <v>C</v>
      </c>
      <c r="G14" s="79"/>
      <c r="H14" s="147">
        <v>30001</v>
      </c>
      <c r="I14" s="165">
        <v>0.35</v>
      </c>
      <c r="J14" s="84" t="s">
        <v>841</v>
      </c>
    </row>
    <row r="15" spans="1:10" ht="15.75" thickBot="1">
      <c r="A15" s="162">
        <v>8</v>
      </c>
      <c r="B15" s="163" t="s">
        <v>809</v>
      </c>
      <c r="C15" s="163" t="s">
        <v>796</v>
      </c>
      <c r="D15" s="164">
        <v>11250</v>
      </c>
      <c r="E15" s="167">
        <f t="shared" si="0"/>
        <v>0.15</v>
      </c>
      <c r="F15" s="124" t="str">
        <f t="shared" ref="F15:F18" si="1">IF(E15&gt;=40%,"H",IF(E15&gt;=35%,"G",IF(E15&gt;=30%,"F",IF(E15&gt;=25%,"E",IF(E15&gt;=20%,"D",IF(E15&gt;=15%,"C",IF(E15&gt;=10%,"B",IF(E15&gt;=5%,"A"))))))))</f>
        <v>C</v>
      </c>
      <c r="G15" s="79"/>
      <c r="H15" s="147">
        <v>35001</v>
      </c>
      <c r="I15" s="165">
        <v>0.4</v>
      </c>
      <c r="J15" s="84" t="s">
        <v>842</v>
      </c>
    </row>
    <row r="16" spans="1:10" ht="15.75" thickBot="1">
      <c r="A16" s="162">
        <v>9</v>
      </c>
      <c r="B16" s="163" t="s">
        <v>812</v>
      </c>
      <c r="C16" s="163" t="s">
        <v>72</v>
      </c>
      <c r="D16" s="164">
        <v>10625</v>
      </c>
      <c r="E16" s="167">
        <f t="shared" si="0"/>
        <v>0.15</v>
      </c>
      <c r="F16" s="124" t="str">
        <f t="shared" si="1"/>
        <v>C</v>
      </c>
      <c r="G16" s="76"/>
      <c r="H16" s="76"/>
      <c r="I16" s="76"/>
      <c r="J16" s="76"/>
    </row>
    <row r="17" spans="1:10" ht="15.75" thickBot="1">
      <c r="A17" s="162">
        <v>10</v>
      </c>
      <c r="B17" s="163" t="s">
        <v>814</v>
      </c>
      <c r="C17" s="163" t="s">
        <v>802</v>
      </c>
      <c r="D17" s="164">
        <v>15000</v>
      </c>
      <c r="E17" s="167">
        <f t="shared" si="0"/>
        <v>0.15</v>
      </c>
      <c r="F17" s="124" t="str">
        <f t="shared" si="1"/>
        <v>C</v>
      </c>
      <c r="G17" s="76"/>
      <c r="H17" s="76"/>
      <c r="I17" s="76"/>
      <c r="J17" s="76"/>
    </row>
    <row r="18" spans="1:10" ht="15.75" thickBot="1">
      <c r="A18" s="162">
        <v>11</v>
      </c>
      <c r="B18" s="163" t="s">
        <v>816</v>
      </c>
      <c r="C18" s="163" t="s">
        <v>72</v>
      </c>
      <c r="D18" s="164">
        <v>13750</v>
      </c>
      <c r="E18" s="167">
        <f t="shared" si="0"/>
        <v>0.15</v>
      </c>
      <c r="F18" s="124" t="str">
        <f t="shared" si="1"/>
        <v>C</v>
      </c>
      <c r="G18" s="76"/>
      <c r="H18" s="76"/>
      <c r="I18" s="76"/>
      <c r="J18" s="76"/>
    </row>
    <row r="19" spans="1:10" ht="15.75" thickBot="1">
      <c r="A19" s="162">
        <v>12</v>
      </c>
      <c r="B19" s="163" t="s">
        <v>818</v>
      </c>
      <c r="C19" s="163" t="s">
        <v>805</v>
      </c>
      <c r="D19" s="164">
        <v>35000</v>
      </c>
      <c r="E19" s="167">
        <f t="shared" si="0"/>
        <v>0.35</v>
      </c>
      <c r="F19" s="124" t="str">
        <f>IF(E19&gt;=40%,"H",IF(E19&gt;=35%,"G",IF(E19&gt;=30%,"F",IF(E19&gt;=25%,"E",IF(E19&gt;=20%,"D",IF(E19&gt;=15%,"C",IF(E19&gt;=10%,"B",IF(E19&gt;=5%,"A"))))))))</f>
        <v>G</v>
      </c>
      <c r="G19" s="76"/>
      <c r="H19" s="76"/>
      <c r="I19" s="76"/>
      <c r="J19" s="76"/>
    </row>
    <row r="20" spans="1:10" ht="15.75" thickBot="1">
      <c r="A20" s="162">
        <v>13</v>
      </c>
      <c r="B20" s="163" t="s">
        <v>820</v>
      </c>
      <c r="C20" s="163" t="s">
        <v>808</v>
      </c>
      <c r="D20" s="164">
        <v>10625</v>
      </c>
      <c r="E20" s="167">
        <f t="shared" si="0"/>
        <v>0.15</v>
      </c>
      <c r="F20" s="124" t="str">
        <f t="shared" ref="F20:F23" si="2">IF(E20&gt;=40%,"H",IF(E20&gt;=35%,"G",IF(E20&gt;=30%,"F",IF(E20&gt;=25%,"E",IF(E20&gt;=20%,"D",IF(E20&gt;=15%,"C",IF(E20&gt;=10%,"B",IF(E20&gt;=5%,"A"))))))))</f>
        <v>C</v>
      </c>
      <c r="G20" s="76"/>
      <c r="H20" s="76"/>
      <c r="I20" s="76"/>
      <c r="J20" s="76"/>
    </row>
    <row r="21" spans="1:10" ht="15.75" thickBot="1">
      <c r="A21" s="162">
        <v>14</v>
      </c>
      <c r="B21" s="163" t="s">
        <v>821</v>
      </c>
      <c r="C21" s="163" t="s">
        <v>808</v>
      </c>
      <c r="D21" s="164">
        <v>10625</v>
      </c>
      <c r="E21" s="167">
        <f t="shared" si="0"/>
        <v>0.15</v>
      </c>
      <c r="F21" s="124" t="str">
        <f t="shared" si="2"/>
        <v>C</v>
      </c>
      <c r="G21" s="76"/>
      <c r="H21" s="76"/>
      <c r="I21" s="76"/>
      <c r="J21" s="76"/>
    </row>
    <row r="22" spans="1:10" ht="15.75" thickBot="1">
      <c r="A22" s="162">
        <v>15</v>
      </c>
      <c r="B22" s="163" t="s">
        <v>823</v>
      </c>
      <c r="C22" s="163" t="s">
        <v>802</v>
      </c>
      <c r="D22" s="164">
        <v>11250</v>
      </c>
      <c r="E22" s="167">
        <f t="shared" si="0"/>
        <v>0.15</v>
      </c>
      <c r="F22" s="124" t="str">
        <f t="shared" si="2"/>
        <v>C</v>
      </c>
      <c r="G22" s="76"/>
      <c r="H22" s="76"/>
      <c r="I22" s="76"/>
      <c r="J22" s="76"/>
    </row>
    <row r="23" spans="1:10" ht="15.75" thickBot="1">
      <c r="A23" s="162">
        <v>16</v>
      </c>
      <c r="B23" s="163" t="s">
        <v>824</v>
      </c>
      <c r="C23" s="163" t="s">
        <v>802</v>
      </c>
      <c r="D23" s="164">
        <v>11250</v>
      </c>
      <c r="E23" s="167">
        <f t="shared" si="0"/>
        <v>0.15</v>
      </c>
      <c r="F23" s="124" t="str">
        <f t="shared" si="2"/>
        <v>C</v>
      </c>
      <c r="G23" s="76"/>
      <c r="H23" s="76"/>
      <c r="I23" s="76"/>
      <c r="J23" s="76"/>
    </row>
    <row r="24" spans="1:10" ht="15.75" thickBot="1">
      <c r="A24" s="162">
        <v>17</v>
      </c>
      <c r="B24" s="163" t="s">
        <v>826</v>
      </c>
      <c r="C24" s="163" t="s">
        <v>796</v>
      </c>
      <c r="D24" s="164">
        <v>7500</v>
      </c>
      <c r="E24" s="167">
        <f t="shared" si="0"/>
        <v>0.1</v>
      </c>
      <c r="F24" s="124" t="str">
        <f>IF(E24&gt;=40%,"H",IF(E24&gt;=35%,"G",IF(E24&gt;=30%,"F",IF(E24&gt;=25%,"E",IF(E24&gt;=20%,"D",IF(E24&gt;=15%,"C",IF(E24&gt;=10%,"B",IF(E24&gt;=5%,"A"))))))))</f>
        <v>B</v>
      </c>
      <c r="G24" s="76"/>
      <c r="H24" s="76"/>
      <c r="I24" s="76"/>
      <c r="J24" s="76"/>
    </row>
    <row r="25" spans="1:10" ht="15.75" thickBot="1">
      <c r="A25" s="162">
        <v>18</v>
      </c>
      <c r="B25" s="163" t="s">
        <v>843</v>
      </c>
      <c r="C25" s="163" t="s">
        <v>796</v>
      </c>
      <c r="D25" s="164">
        <v>4250</v>
      </c>
      <c r="E25" s="167">
        <f t="shared" si="0"/>
        <v>0.05</v>
      </c>
      <c r="F25" s="124" t="str">
        <f>IF(E25&gt;=40%,"H",IF(E25&gt;=35%,"G",IF(E25&gt;=30%,"F",IF(E25&gt;=25%,"E",IF(E25&gt;=20%,"D",IF(E25&gt;=15%,"C",IF(E25&gt;=10%,"B",IF(E25&gt;=5%,"A"))))))))</f>
        <v>A</v>
      </c>
      <c r="G25" s="76"/>
      <c r="H25" s="76"/>
      <c r="I25" s="76"/>
      <c r="J25" s="76"/>
    </row>
    <row r="26" spans="1:10" ht="27" thickBot="1">
      <c r="A26" s="162">
        <v>19</v>
      </c>
      <c r="B26" s="163" t="s">
        <v>844</v>
      </c>
      <c r="C26" s="163" t="s">
        <v>796</v>
      </c>
      <c r="D26" s="164">
        <v>5625</v>
      </c>
      <c r="E26" s="167">
        <f t="shared" si="0"/>
        <v>0.1</v>
      </c>
      <c r="F26" s="124" t="str">
        <f t="shared" ref="F26:F46" si="3">IF(E26&gt;=40%,"H",IF(E26&gt;=35%,"G",IF(E26&gt;=30%,"F",IF(E26&gt;=25%,"E",IF(E26&gt;=20%,"D",IF(E26&gt;=15%,"C",IF(E26&gt;=10%,"B",IF(E26&gt;=5%,"A"))))))))</f>
        <v>B</v>
      </c>
      <c r="G26" s="76"/>
      <c r="H26" s="76"/>
      <c r="I26" s="76"/>
      <c r="J26" s="76"/>
    </row>
    <row r="27" spans="1:10" ht="15.75" thickBot="1">
      <c r="A27" s="162">
        <v>20</v>
      </c>
      <c r="B27" s="163" t="s">
        <v>845</v>
      </c>
      <c r="C27" s="163" t="s">
        <v>796</v>
      </c>
      <c r="D27" s="164">
        <v>5625</v>
      </c>
      <c r="E27" s="167">
        <f t="shared" si="0"/>
        <v>0.1</v>
      </c>
      <c r="F27" s="124" t="str">
        <f t="shared" si="3"/>
        <v>B</v>
      </c>
      <c r="G27" s="76"/>
      <c r="H27" s="76"/>
      <c r="I27" s="76"/>
      <c r="J27" s="76"/>
    </row>
    <row r="28" spans="1:10" ht="15.75" thickBot="1">
      <c r="A28" s="162">
        <v>21</v>
      </c>
      <c r="B28" s="163" t="s">
        <v>846</v>
      </c>
      <c r="C28" s="163" t="s">
        <v>796</v>
      </c>
      <c r="D28" s="164">
        <v>5625</v>
      </c>
      <c r="E28" s="167">
        <f t="shared" si="0"/>
        <v>0.1</v>
      </c>
      <c r="F28" s="124" t="str">
        <f t="shared" si="3"/>
        <v>B</v>
      </c>
      <c r="G28" s="76"/>
      <c r="H28" s="76"/>
      <c r="I28" s="76"/>
      <c r="J28" s="76"/>
    </row>
    <row r="29" spans="1:10" ht="15.75" thickBot="1">
      <c r="A29" s="162">
        <v>22</v>
      </c>
      <c r="B29" s="163" t="s">
        <v>15</v>
      </c>
      <c r="C29" s="163" t="s">
        <v>262</v>
      </c>
      <c r="D29" s="164">
        <v>10625</v>
      </c>
      <c r="E29" s="167">
        <f t="shared" si="0"/>
        <v>0.15</v>
      </c>
      <c r="F29" s="124" t="str">
        <f t="shared" si="3"/>
        <v>C</v>
      </c>
      <c r="G29" s="76"/>
      <c r="H29" s="76"/>
      <c r="I29" s="76"/>
      <c r="J29" s="76"/>
    </row>
    <row r="30" spans="1:10" ht="15.75" thickBot="1">
      <c r="A30" s="162">
        <v>23</v>
      </c>
      <c r="B30" s="163" t="s">
        <v>847</v>
      </c>
      <c r="C30" s="163" t="s">
        <v>798</v>
      </c>
      <c r="D30" s="164">
        <v>5625</v>
      </c>
      <c r="E30" s="167">
        <f t="shared" si="0"/>
        <v>0.1</v>
      </c>
      <c r="F30" s="124" t="str">
        <f t="shared" si="3"/>
        <v>B</v>
      </c>
      <c r="G30" s="76"/>
      <c r="H30" s="76"/>
      <c r="I30" s="76"/>
      <c r="J30" s="76"/>
    </row>
    <row r="31" spans="1:10" ht="15.75" thickBot="1">
      <c r="A31" s="162">
        <v>24</v>
      </c>
      <c r="B31" s="163" t="s">
        <v>848</v>
      </c>
      <c r="C31" s="163" t="s">
        <v>262</v>
      </c>
      <c r="D31" s="164">
        <v>13750</v>
      </c>
      <c r="E31" s="167">
        <f t="shared" si="0"/>
        <v>0.15</v>
      </c>
      <c r="F31" s="124" t="str">
        <f t="shared" si="3"/>
        <v>C</v>
      </c>
      <c r="G31" s="76"/>
      <c r="H31" s="76"/>
      <c r="I31" s="76"/>
      <c r="J31" s="76"/>
    </row>
    <row r="32" spans="1:10" ht="15.75" thickBot="1">
      <c r="A32" s="162">
        <v>25</v>
      </c>
      <c r="B32" s="163" t="s">
        <v>849</v>
      </c>
      <c r="C32" s="163" t="s">
        <v>262</v>
      </c>
      <c r="D32" s="164">
        <v>9375</v>
      </c>
      <c r="E32" s="167">
        <f t="shared" si="0"/>
        <v>0.1</v>
      </c>
      <c r="F32" s="124" t="str">
        <f t="shared" si="3"/>
        <v>B</v>
      </c>
      <c r="G32" s="76"/>
      <c r="H32" s="76"/>
      <c r="I32" s="76"/>
      <c r="J32" s="76"/>
    </row>
    <row r="33" spans="1:10" ht="15.75" thickBot="1">
      <c r="A33" s="162">
        <v>26</v>
      </c>
      <c r="B33" s="163" t="s">
        <v>850</v>
      </c>
      <c r="C33" s="163" t="s">
        <v>798</v>
      </c>
      <c r="D33" s="164">
        <v>7500</v>
      </c>
      <c r="E33" s="167">
        <f t="shared" si="0"/>
        <v>0.1</v>
      </c>
      <c r="F33" s="124" t="str">
        <f t="shared" si="3"/>
        <v>B</v>
      </c>
      <c r="G33" s="76"/>
      <c r="H33" s="76"/>
      <c r="I33" s="76"/>
      <c r="J33" s="76"/>
    </row>
    <row r="34" spans="1:10" ht="15.75" thickBot="1">
      <c r="A34" s="162">
        <v>27</v>
      </c>
      <c r="B34" s="163" t="s">
        <v>851</v>
      </c>
      <c r="C34" s="163" t="s">
        <v>802</v>
      </c>
      <c r="D34" s="164">
        <v>6875</v>
      </c>
      <c r="E34" s="167">
        <f t="shared" si="0"/>
        <v>0.1</v>
      </c>
      <c r="F34" s="124" t="str">
        <f t="shared" si="3"/>
        <v>B</v>
      </c>
      <c r="G34" s="76"/>
      <c r="H34" s="76"/>
      <c r="I34" s="76"/>
      <c r="J34" s="76"/>
    </row>
    <row r="35" spans="1:10" ht="15.75" thickBot="1">
      <c r="A35" s="162">
        <v>28</v>
      </c>
      <c r="B35" s="163" t="s">
        <v>852</v>
      </c>
      <c r="C35" s="163" t="s">
        <v>808</v>
      </c>
      <c r="D35" s="164">
        <v>10125</v>
      </c>
      <c r="E35" s="167">
        <f t="shared" si="0"/>
        <v>0.15</v>
      </c>
      <c r="F35" s="124" t="str">
        <f t="shared" si="3"/>
        <v>C</v>
      </c>
      <c r="G35" s="76"/>
      <c r="H35" s="76"/>
      <c r="I35" s="76"/>
      <c r="J35" s="76"/>
    </row>
    <row r="36" spans="1:10" ht="15.75" thickBot="1">
      <c r="A36" s="162">
        <v>29</v>
      </c>
      <c r="B36" s="163" t="s">
        <v>853</v>
      </c>
      <c r="C36" s="163" t="s">
        <v>798</v>
      </c>
      <c r="D36" s="164">
        <v>11250</v>
      </c>
      <c r="E36" s="167">
        <f t="shared" si="0"/>
        <v>0.15</v>
      </c>
      <c r="F36" s="124" t="str">
        <f t="shared" si="3"/>
        <v>C</v>
      </c>
      <c r="G36" s="76"/>
      <c r="H36" s="76"/>
      <c r="I36" s="76"/>
      <c r="J36" s="76"/>
    </row>
    <row r="37" spans="1:10" ht="15.75" thickBot="1">
      <c r="A37" s="162">
        <v>30</v>
      </c>
      <c r="B37" s="163" t="s">
        <v>854</v>
      </c>
      <c r="C37" s="163" t="s">
        <v>811</v>
      </c>
      <c r="D37" s="164">
        <v>11250</v>
      </c>
      <c r="E37" s="167">
        <f t="shared" si="0"/>
        <v>0.15</v>
      </c>
      <c r="F37" s="124" t="str">
        <f t="shared" si="3"/>
        <v>C</v>
      </c>
      <c r="G37" s="76"/>
      <c r="H37" s="76"/>
      <c r="I37" s="76"/>
      <c r="J37" s="76"/>
    </row>
    <row r="38" spans="1:10" ht="15.75" thickBot="1">
      <c r="A38" s="162">
        <v>31</v>
      </c>
      <c r="B38" s="163" t="s">
        <v>855</v>
      </c>
      <c r="C38" s="163" t="s">
        <v>811</v>
      </c>
      <c r="D38" s="164">
        <v>5000</v>
      </c>
      <c r="E38" s="167">
        <f t="shared" si="0"/>
        <v>0.05</v>
      </c>
      <c r="F38" s="124" t="str">
        <f t="shared" si="3"/>
        <v>A</v>
      </c>
      <c r="G38" s="76"/>
      <c r="H38" s="76"/>
      <c r="I38" s="76"/>
      <c r="J38" s="76"/>
    </row>
    <row r="39" spans="1:10" ht="15.75" thickBot="1">
      <c r="A39" s="162">
        <v>32</v>
      </c>
      <c r="B39" s="163" t="s">
        <v>856</v>
      </c>
      <c r="C39" s="163" t="s">
        <v>811</v>
      </c>
      <c r="D39" s="164">
        <v>6250</v>
      </c>
      <c r="E39" s="167">
        <f t="shared" si="0"/>
        <v>0.1</v>
      </c>
      <c r="F39" s="124" t="str">
        <f t="shared" si="3"/>
        <v>B</v>
      </c>
      <c r="G39" s="76"/>
      <c r="H39" s="76"/>
      <c r="I39" s="76"/>
      <c r="J39" s="76"/>
    </row>
    <row r="40" spans="1:10" ht="15.75" thickBot="1">
      <c r="A40" s="162">
        <v>33</v>
      </c>
      <c r="B40" s="163" t="s">
        <v>857</v>
      </c>
      <c r="C40" s="163" t="s">
        <v>796</v>
      </c>
      <c r="D40" s="164">
        <v>6625</v>
      </c>
      <c r="E40" s="167">
        <f t="shared" si="0"/>
        <v>0.1</v>
      </c>
      <c r="F40" s="124" t="str">
        <f t="shared" si="3"/>
        <v>B</v>
      </c>
      <c r="G40" s="76"/>
      <c r="H40" s="76"/>
      <c r="I40" s="76"/>
      <c r="J40" s="76"/>
    </row>
    <row r="41" spans="1:10" ht="15.75" thickBot="1">
      <c r="A41" s="162">
        <v>34</v>
      </c>
      <c r="B41" s="163" t="s">
        <v>15</v>
      </c>
      <c r="C41" s="163" t="s">
        <v>808</v>
      </c>
      <c r="D41" s="164">
        <v>8375</v>
      </c>
      <c r="E41" s="167">
        <f t="shared" si="0"/>
        <v>0.1</v>
      </c>
      <c r="F41" s="124" t="str">
        <f t="shared" si="3"/>
        <v>B</v>
      </c>
      <c r="G41" s="76"/>
      <c r="H41" s="76"/>
      <c r="I41" s="76"/>
      <c r="J41" s="76"/>
    </row>
    <row r="42" spans="1:10" ht="15.75" thickBot="1">
      <c r="A42" s="162">
        <v>35</v>
      </c>
      <c r="B42" s="163" t="s">
        <v>814</v>
      </c>
      <c r="C42" s="163" t="s">
        <v>72</v>
      </c>
      <c r="D42" s="164">
        <v>17500</v>
      </c>
      <c r="E42" s="167">
        <f t="shared" si="0"/>
        <v>0.2</v>
      </c>
      <c r="F42" s="124" t="str">
        <f t="shared" si="3"/>
        <v>D</v>
      </c>
      <c r="G42" s="76"/>
      <c r="H42" s="76"/>
      <c r="I42" s="76"/>
      <c r="J42" s="76"/>
    </row>
    <row r="43" spans="1:10" ht="15.75" thickBot="1">
      <c r="A43" s="162">
        <v>36</v>
      </c>
      <c r="B43" s="163" t="s">
        <v>858</v>
      </c>
      <c r="C43" s="163" t="s">
        <v>72</v>
      </c>
      <c r="D43" s="164">
        <v>17500</v>
      </c>
      <c r="E43" s="167">
        <f t="shared" si="0"/>
        <v>0.2</v>
      </c>
      <c r="F43" s="124" t="str">
        <f t="shared" si="3"/>
        <v>D</v>
      </c>
      <c r="G43" s="76"/>
      <c r="H43" s="76"/>
      <c r="I43" s="76"/>
      <c r="J43" s="76"/>
    </row>
    <row r="44" spans="1:10" ht="15.75" thickBot="1">
      <c r="A44" s="162">
        <v>37</v>
      </c>
      <c r="B44" s="163" t="s">
        <v>818</v>
      </c>
      <c r="C44" s="163" t="s">
        <v>72</v>
      </c>
      <c r="D44" s="164">
        <v>17500</v>
      </c>
      <c r="E44" s="167">
        <f t="shared" si="0"/>
        <v>0.2</v>
      </c>
      <c r="F44" s="124" t="str">
        <f t="shared" si="3"/>
        <v>D</v>
      </c>
      <c r="G44" s="76"/>
      <c r="H44" s="76"/>
      <c r="I44" s="76"/>
      <c r="J44" s="76"/>
    </row>
    <row r="45" spans="1:10" ht="15.75" thickBot="1">
      <c r="A45" s="162">
        <v>38</v>
      </c>
      <c r="B45" s="163" t="s">
        <v>487</v>
      </c>
      <c r="C45" s="163" t="s">
        <v>262</v>
      </c>
      <c r="D45" s="164">
        <v>7500</v>
      </c>
      <c r="E45" s="167">
        <f t="shared" si="0"/>
        <v>0.1</v>
      </c>
      <c r="F45" s="124" t="str">
        <f t="shared" si="3"/>
        <v>B</v>
      </c>
      <c r="G45" s="76"/>
      <c r="H45" s="76"/>
      <c r="I45" s="76"/>
      <c r="J45" s="76"/>
    </row>
    <row r="46" spans="1:10" ht="15.75" thickBot="1">
      <c r="A46" s="162">
        <v>39</v>
      </c>
      <c r="B46" s="163" t="s">
        <v>859</v>
      </c>
      <c r="C46" s="163" t="s">
        <v>802</v>
      </c>
      <c r="D46" s="164">
        <v>5625</v>
      </c>
      <c r="E46" s="167">
        <f t="shared" si="0"/>
        <v>0.1</v>
      </c>
      <c r="F46" s="124" t="str">
        <f t="shared" si="3"/>
        <v>B</v>
      </c>
      <c r="G46" s="76"/>
      <c r="H46" s="76"/>
      <c r="I46" s="76"/>
      <c r="J46" s="76"/>
    </row>
    <row r="47" spans="1:10" ht="15.75" thickBot="1">
      <c r="A47" s="162">
        <v>40</v>
      </c>
      <c r="B47" s="163" t="s">
        <v>15</v>
      </c>
      <c r="C47" s="163" t="s">
        <v>798</v>
      </c>
      <c r="D47" s="164">
        <v>9500</v>
      </c>
      <c r="E47" s="167">
        <f t="shared" si="0"/>
        <v>0.1</v>
      </c>
      <c r="F47" s="124" t="str">
        <f>IF(E47&gt;=40%,"H",IF(E47&gt;=35%,"G",IF(E47&gt;=30%,"F",IF(E47&gt;=25%,"E",IF(E47&gt;=20%,"D",IF(E47&gt;=15%,"C",IF(E47&gt;=10%,"B",IF(E47&gt;=5%,"A"))))))))</f>
        <v>B</v>
      </c>
      <c r="G47" s="76"/>
      <c r="H47" s="76"/>
      <c r="I47" s="76"/>
      <c r="J47" s="76"/>
    </row>
    <row r="48" spans="1:10" ht="15.75" thickBot="1">
      <c r="A48" s="76"/>
      <c r="B48" s="76"/>
      <c r="C48" s="76"/>
      <c r="D48" s="76"/>
      <c r="E48" s="239"/>
      <c r="F48" s="76"/>
      <c r="G48" s="76"/>
      <c r="H48" s="76"/>
      <c r="I48" s="76"/>
      <c r="J48" s="76"/>
    </row>
  </sheetData>
  <mergeCells count="3">
    <mergeCell ref="A1:J1"/>
    <mergeCell ref="A4:F4"/>
    <mergeCell ref="A5:F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7498-2994-4A47-AE46-408512D9FD94}">
  <dimension ref="A1:I44"/>
  <sheetViews>
    <sheetView workbookViewId="0">
      <selection activeCell="C40" sqref="C40"/>
    </sheetView>
  </sheetViews>
  <sheetFormatPr defaultRowHeight="15"/>
  <cols>
    <col min="2" max="2" width="12" customWidth="1"/>
    <col min="5" max="5" width="14.140625" customWidth="1"/>
  </cols>
  <sheetData>
    <row r="1" spans="1:9" ht="19.5" thickBot="1">
      <c r="A1" s="258" t="s">
        <v>860</v>
      </c>
      <c r="B1" s="259"/>
      <c r="C1" s="259"/>
      <c r="D1" s="259"/>
      <c r="E1" s="259"/>
      <c r="F1" s="259"/>
      <c r="G1" s="259"/>
      <c r="H1" s="260"/>
      <c r="I1" s="76"/>
    </row>
    <row r="2" spans="1:9" ht="15.75" thickBot="1">
      <c r="A2" s="261" t="s">
        <v>861</v>
      </c>
      <c r="B2" s="262"/>
      <c r="C2" s="262"/>
      <c r="D2" s="262"/>
      <c r="E2" s="262"/>
      <c r="F2" s="262"/>
      <c r="G2" s="262"/>
      <c r="H2" s="263"/>
      <c r="I2" s="76"/>
    </row>
    <row r="3" spans="1:9" ht="15.75" thickBot="1">
      <c r="A3" s="75"/>
      <c r="B3" s="75"/>
      <c r="C3" s="75"/>
      <c r="D3" s="75"/>
      <c r="E3" s="76"/>
      <c r="F3" s="76"/>
      <c r="G3" s="76"/>
      <c r="H3" s="76"/>
      <c r="I3" s="76"/>
    </row>
    <row r="4" spans="1:9" ht="15.75" thickBot="1">
      <c r="A4" s="168" t="s">
        <v>862</v>
      </c>
      <c r="B4" s="169" t="s">
        <v>863</v>
      </c>
      <c r="C4" s="169" t="s">
        <v>864</v>
      </c>
      <c r="D4" s="170" t="s">
        <v>865</v>
      </c>
      <c r="E4" s="76"/>
      <c r="F4" s="76"/>
      <c r="G4" s="76"/>
      <c r="H4" s="76"/>
      <c r="I4" s="76"/>
    </row>
    <row r="5" spans="1:9" ht="15.75" thickBot="1">
      <c r="A5" s="171">
        <v>21916</v>
      </c>
      <c r="B5" s="172">
        <v>25698</v>
      </c>
      <c r="C5" s="169" t="s">
        <v>866</v>
      </c>
      <c r="D5" s="173">
        <f>DATEDIF(A5,B5,"D")</f>
        <v>3782</v>
      </c>
      <c r="E5" s="174" t="s">
        <v>900</v>
      </c>
      <c r="F5" s="76"/>
      <c r="G5" s="76">
        <f>DATEDIF(A5,B5,"D")</f>
        <v>3782</v>
      </c>
      <c r="H5" s="76"/>
      <c r="I5" s="76"/>
    </row>
    <row r="6" spans="1:9" ht="15.75" thickBot="1">
      <c r="A6" s="171">
        <v>21916</v>
      </c>
      <c r="B6" s="172">
        <v>25698</v>
      </c>
      <c r="C6" s="169" t="s">
        <v>867</v>
      </c>
      <c r="D6" s="173">
        <f>DATEDIF(A6,B6,"M")</f>
        <v>124</v>
      </c>
      <c r="E6" s="174" t="s">
        <v>901</v>
      </c>
      <c r="F6" s="76"/>
      <c r="G6" s="76"/>
      <c r="H6" s="76"/>
      <c r="I6" s="76"/>
    </row>
    <row r="7" spans="1:9" ht="15.75" thickBot="1">
      <c r="A7" s="171">
        <v>21916</v>
      </c>
      <c r="B7" s="172">
        <v>25698</v>
      </c>
      <c r="C7" s="169" t="s">
        <v>868</v>
      </c>
      <c r="D7" s="173">
        <f>DATEDIF(A7,B7,"Y")</f>
        <v>10</v>
      </c>
      <c r="E7" s="174" t="s">
        <v>902</v>
      </c>
      <c r="F7" s="76"/>
      <c r="G7" s="76"/>
      <c r="H7" s="76"/>
      <c r="I7" s="76"/>
    </row>
    <row r="8" spans="1:9" ht="15.75" thickBot="1">
      <c r="A8" s="171">
        <v>21916</v>
      </c>
      <c r="B8" s="172">
        <v>25698</v>
      </c>
      <c r="C8" s="169" t="s">
        <v>869</v>
      </c>
      <c r="D8" s="173">
        <f>DATEDIF(A8,B8,"YD")</f>
        <v>130</v>
      </c>
      <c r="E8" s="174" t="s">
        <v>903</v>
      </c>
      <c r="F8" s="76"/>
      <c r="G8" s="76"/>
      <c r="H8" s="76"/>
      <c r="I8" s="76"/>
    </row>
    <row r="9" spans="1:9" ht="27" thickBot="1">
      <c r="A9" s="171">
        <v>21916</v>
      </c>
      <c r="B9" s="172">
        <v>25698</v>
      </c>
      <c r="C9" s="169" t="s">
        <v>870</v>
      </c>
      <c r="D9" s="173">
        <f>DATEDIF(A9,B9,"YM")</f>
        <v>4</v>
      </c>
      <c r="E9" s="174" t="s">
        <v>904</v>
      </c>
      <c r="F9" s="76"/>
      <c r="G9" s="76"/>
      <c r="H9" s="76"/>
      <c r="I9" s="76"/>
    </row>
    <row r="10" spans="1:9" ht="27" thickBot="1">
      <c r="A10" s="171">
        <v>21916</v>
      </c>
      <c r="B10" s="172">
        <v>25698</v>
      </c>
      <c r="C10" s="169" t="s">
        <v>871</v>
      </c>
      <c r="D10" s="173">
        <f>DATEDIF(A10,B10,"MD")</f>
        <v>9</v>
      </c>
      <c r="E10" s="174" t="s">
        <v>905</v>
      </c>
      <c r="F10" s="76"/>
      <c r="G10" s="76"/>
      <c r="H10" s="76"/>
      <c r="I10" s="76"/>
    </row>
    <row r="11" spans="1:9" ht="15.75" thickBot="1">
      <c r="A11" s="76"/>
      <c r="B11" s="76"/>
      <c r="C11" s="76"/>
      <c r="D11" s="76"/>
      <c r="E11" s="76"/>
      <c r="F11" s="76"/>
      <c r="G11" s="76"/>
      <c r="H11" s="76"/>
      <c r="I11" s="76"/>
    </row>
    <row r="12" spans="1:9" ht="15.75" thickBot="1">
      <c r="A12" s="175" t="s">
        <v>872</v>
      </c>
      <c r="B12" s="176"/>
      <c r="C12" s="176"/>
      <c r="D12" s="176"/>
      <c r="E12" s="176"/>
      <c r="F12" s="176"/>
      <c r="G12" s="176"/>
      <c r="H12" s="76"/>
      <c r="I12" s="76"/>
    </row>
    <row r="13" spans="1:9" ht="16.5" thickTop="1" thickBot="1">
      <c r="A13" s="136" t="s">
        <v>873</v>
      </c>
      <c r="B13" s="76"/>
      <c r="C13" s="76"/>
      <c r="D13" s="76"/>
      <c r="E13" s="76"/>
      <c r="F13" s="76"/>
      <c r="G13" s="76"/>
      <c r="H13" s="76"/>
      <c r="I13" s="76"/>
    </row>
    <row r="14" spans="1:9" ht="15.75" thickBot="1">
      <c r="A14" s="136" t="s">
        <v>874</v>
      </c>
      <c r="B14" s="76"/>
      <c r="C14" s="76"/>
      <c r="D14" s="76"/>
      <c r="E14" s="76"/>
      <c r="F14" s="76"/>
      <c r="G14" s="76"/>
      <c r="H14" s="76"/>
      <c r="I14" s="76"/>
    </row>
    <row r="15" spans="1:9" ht="15.75" thickBot="1">
      <c r="A15" s="76"/>
      <c r="B15" s="76"/>
      <c r="C15" s="76"/>
      <c r="D15" s="76"/>
      <c r="E15" s="76"/>
      <c r="F15" s="76"/>
      <c r="G15" s="76"/>
      <c r="H15" s="76"/>
      <c r="I15" s="76"/>
    </row>
    <row r="16" spans="1:9" ht="15.75" thickBot="1">
      <c r="A16" s="177" t="s">
        <v>875</v>
      </c>
      <c r="B16" s="176"/>
      <c r="C16" s="176"/>
      <c r="D16" s="176"/>
      <c r="E16" s="176"/>
      <c r="F16" s="176"/>
      <c r="G16" s="176"/>
      <c r="H16" s="76"/>
      <c r="I16" s="76"/>
    </row>
    <row r="17" spans="1:9" ht="16.5" thickTop="1" thickBot="1">
      <c r="A17" s="136" t="s">
        <v>906</v>
      </c>
      <c r="B17" s="76"/>
      <c r="C17" s="76"/>
      <c r="D17" s="76"/>
      <c r="E17" s="76"/>
      <c r="F17" s="76"/>
      <c r="G17" s="76"/>
      <c r="H17" s="76"/>
      <c r="I17" s="76"/>
    </row>
    <row r="18" spans="1:9" ht="15.75" thickBot="1">
      <c r="A18" s="136" t="s">
        <v>876</v>
      </c>
      <c r="B18" s="76"/>
      <c r="C18" s="76"/>
      <c r="D18" s="76"/>
      <c r="E18" s="76"/>
      <c r="F18" s="76"/>
      <c r="G18" s="76"/>
      <c r="H18" s="76"/>
      <c r="I18" s="76"/>
    </row>
    <row r="19" spans="1:9" ht="15.75" thickBot="1">
      <c r="A19" s="136" t="s">
        <v>877</v>
      </c>
      <c r="B19" s="76"/>
      <c r="C19" s="76"/>
      <c r="D19" s="76"/>
      <c r="E19" s="76"/>
      <c r="F19" s="76"/>
      <c r="G19" s="76"/>
      <c r="H19" s="76"/>
      <c r="I19" s="76"/>
    </row>
    <row r="20" spans="1:9" ht="15.75" thickBot="1">
      <c r="A20" s="136" t="s">
        <v>878</v>
      </c>
      <c r="B20" s="76"/>
      <c r="C20" s="76"/>
      <c r="D20" s="76"/>
      <c r="E20" s="76"/>
      <c r="F20" s="76"/>
      <c r="G20" s="76"/>
      <c r="H20" s="76"/>
      <c r="I20" s="76"/>
    </row>
    <row r="21" spans="1:9" ht="15.75" thickBot="1">
      <c r="A21" s="136" t="s">
        <v>879</v>
      </c>
      <c r="B21" s="76"/>
      <c r="C21" s="76"/>
      <c r="D21" s="76"/>
      <c r="E21" s="76"/>
      <c r="F21" s="76"/>
      <c r="G21" s="76"/>
      <c r="H21" s="76"/>
      <c r="I21" s="76"/>
    </row>
    <row r="22" spans="1:9" ht="15.75" thickBot="1">
      <c r="A22" s="95" t="s">
        <v>880</v>
      </c>
      <c r="B22" s="136" t="s">
        <v>881</v>
      </c>
      <c r="C22" s="76"/>
      <c r="D22" s="76"/>
      <c r="E22" s="76"/>
      <c r="F22" s="76"/>
      <c r="G22" s="76"/>
      <c r="H22" s="76"/>
      <c r="I22" s="76"/>
    </row>
    <row r="23" spans="1:9" ht="15.75" thickBot="1">
      <c r="A23" s="95" t="s">
        <v>882</v>
      </c>
      <c r="B23" s="136" t="s">
        <v>883</v>
      </c>
      <c r="C23" s="76"/>
      <c r="D23" s="76"/>
      <c r="E23" s="76"/>
      <c r="F23" s="76"/>
      <c r="G23" s="76"/>
      <c r="H23" s="76"/>
      <c r="I23" s="76"/>
    </row>
    <row r="24" spans="1:9" ht="15.75" thickBot="1">
      <c r="A24" s="95" t="s">
        <v>884</v>
      </c>
      <c r="B24" s="136" t="s">
        <v>885</v>
      </c>
      <c r="C24" s="76"/>
      <c r="D24" s="76"/>
      <c r="E24" s="76"/>
      <c r="F24" s="76"/>
      <c r="G24" s="76"/>
      <c r="H24" s="76"/>
      <c r="I24" s="76"/>
    </row>
    <row r="25" spans="1:9" ht="15.75" thickBot="1">
      <c r="A25" s="95" t="s">
        <v>886</v>
      </c>
      <c r="B25" s="136" t="s">
        <v>887</v>
      </c>
      <c r="C25" s="76"/>
      <c r="D25" s="76"/>
      <c r="E25" s="76"/>
      <c r="F25" s="76"/>
      <c r="G25" s="76"/>
      <c r="H25" s="76"/>
      <c r="I25" s="76"/>
    </row>
    <row r="26" spans="1:9" ht="15.75" thickBot="1">
      <c r="A26" s="95" t="s">
        <v>888</v>
      </c>
      <c r="B26" s="136" t="s">
        <v>889</v>
      </c>
      <c r="C26" s="76"/>
      <c r="D26" s="76"/>
      <c r="E26" s="76"/>
      <c r="F26" s="76"/>
      <c r="G26" s="76"/>
      <c r="H26" s="76"/>
      <c r="I26" s="76"/>
    </row>
    <row r="27" spans="1:9" ht="15.75" thickBot="1">
      <c r="A27" s="95" t="s">
        <v>890</v>
      </c>
      <c r="B27" s="136" t="s">
        <v>891</v>
      </c>
      <c r="C27" s="76"/>
      <c r="D27" s="76"/>
      <c r="E27" s="76"/>
      <c r="F27" s="76"/>
      <c r="G27" s="76"/>
      <c r="H27" s="76"/>
      <c r="I27" s="76"/>
    </row>
    <row r="28" spans="1:9" ht="15.75" thickBot="1">
      <c r="A28" s="76"/>
      <c r="B28" s="76"/>
      <c r="C28" s="76"/>
      <c r="D28" s="76"/>
      <c r="E28" s="76"/>
      <c r="F28" s="76"/>
      <c r="G28" s="76"/>
      <c r="H28" s="76"/>
      <c r="I28" s="76"/>
    </row>
    <row r="29" spans="1:9" ht="27" thickBot="1">
      <c r="A29" s="177" t="s">
        <v>892</v>
      </c>
      <c r="B29" s="176"/>
      <c r="C29" s="176"/>
      <c r="D29" s="176"/>
      <c r="E29" s="176"/>
      <c r="F29" s="176"/>
      <c r="G29" s="176"/>
      <c r="H29" s="76"/>
      <c r="I29" s="76"/>
    </row>
    <row r="30" spans="1:9" ht="16.5" thickTop="1" thickBot="1">
      <c r="A30" s="136" t="s">
        <v>893</v>
      </c>
      <c r="B30" s="76"/>
      <c r="C30" s="76"/>
      <c r="D30" s="76"/>
      <c r="E30" s="76"/>
      <c r="F30" s="76"/>
      <c r="G30" s="76"/>
      <c r="H30" s="76"/>
      <c r="I30" s="76"/>
    </row>
    <row r="31" spans="1:9" ht="15.75" thickBot="1">
      <c r="A31" s="76"/>
      <c r="B31" s="76"/>
      <c r="C31" s="76"/>
      <c r="D31" s="76"/>
      <c r="E31" s="76"/>
      <c r="F31" s="76"/>
      <c r="G31" s="76"/>
      <c r="H31" s="76"/>
      <c r="I31" s="76"/>
    </row>
    <row r="32" spans="1:9" ht="15.75" thickBot="1">
      <c r="A32" s="76"/>
      <c r="B32" s="76"/>
      <c r="C32" s="76"/>
      <c r="D32" s="76"/>
      <c r="E32" s="76"/>
      <c r="F32" s="76"/>
      <c r="G32" s="76"/>
      <c r="H32" s="76"/>
      <c r="I32" s="76"/>
    </row>
    <row r="33" spans="1:9" ht="15.75" thickBot="1">
      <c r="A33" s="76"/>
      <c r="B33" s="76"/>
      <c r="C33" s="76"/>
      <c r="D33" s="76"/>
      <c r="E33" s="76"/>
      <c r="F33" s="76"/>
      <c r="G33" s="76"/>
      <c r="H33" s="76"/>
      <c r="I33" s="76"/>
    </row>
    <row r="34" spans="1:9" ht="15.75" thickBot="1">
      <c r="A34" s="76"/>
      <c r="B34" s="75"/>
      <c r="C34" s="75"/>
      <c r="D34" s="76"/>
      <c r="E34" s="76"/>
      <c r="F34" s="76"/>
      <c r="G34" s="76"/>
      <c r="H34" s="76"/>
      <c r="I34" s="76"/>
    </row>
    <row r="35" spans="1:9" ht="15.75" thickBot="1">
      <c r="A35" s="79"/>
      <c r="B35" s="178" t="s">
        <v>894</v>
      </c>
      <c r="C35" s="179">
        <v>21916</v>
      </c>
      <c r="D35" s="76"/>
      <c r="E35" s="76"/>
      <c r="F35" s="76"/>
      <c r="G35" s="76"/>
      <c r="H35" s="76"/>
      <c r="I35" s="76"/>
    </row>
    <row r="36" spans="1:9" ht="15.75" thickBot="1">
      <c r="A36" s="76"/>
      <c r="B36" s="75"/>
      <c r="C36" s="75"/>
      <c r="D36" s="76"/>
      <c r="E36" s="76"/>
      <c r="F36" s="76"/>
      <c r="G36" s="76"/>
      <c r="H36" s="76"/>
      <c r="I36" s="76"/>
    </row>
    <row r="37" spans="1:9" ht="15.75" thickBot="1">
      <c r="A37" s="79"/>
      <c r="B37" s="178" t="s">
        <v>895</v>
      </c>
      <c r="C37" s="180">
        <f ca="1">DATEDIF(C35,TODAY(),"Y")</f>
        <v>66</v>
      </c>
      <c r="D37" s="174" t="s">
        <v>907</v>
      </c>
      <c r="E37" s="76"/>
      <c r="F37" s="76"/>
      <c r="G37" s="76"/>
      <c r="H37" s="76"/>
      <c r="I37" s="76"/>
    </row>
    <row r="38" spans="1:9" ht="27" thickBot="1">
      <c r="A38" s="79"/>
      <c r="B38" s="178" t="s">
        <v>896</v>
      </c>
      <c r="C38" s="180">
        <f ca="1">DATEDIF(C35,TODAY(),"YM")</f>
        <v>0</v>
      </c>
      <c r="D38" s="174" t="s">
        <v>908</v>
      </c>
      <c r="E38" s="76"/>
      <c r="F38" s="76"/>
      <c r="G38" s="76"/>
      <c r="H38" s="76"/>
      <c r="I38" s="76"/>
    </row>
    <row r="39" spans="1:9" ht="27" thickBot="1">
      <c r="A39" s="79"/>
      <c r="B39" s="178" t="s">
        <v>897</v>
      </c>
      <c r="C39" s="180">
        <f ca="1">DATEDIF(C35,TODAY(),"MD")</f>
        <v>0</v>
      </c>
      <c r="D39" s="174" t="s">
        <v>909</v>
      </c>
      <c r="E39" s="76"/>
      <c r="F39" s="76"/>
      <c r="G39" s="76"/>
      <c r="H39" s="76"/>
      <c r="I39" s="76"/>
    </row>
    <row r="40" spans="1:9" ht="15.75" thickBot="1">
      <c r="A40" s="76"/>
      <c r="B40" s="76"/>
      <c r="C40" s="76"/>
      <c r="D40" s="76"/>
      <c r="E40" s="76"/>
      <c r="F40" s="76"/>
      <c r="G40" s="76"/>
      <c r="H40" s="76"/>
      <c r="I40" s="76"/>
    </row>
    <row r="41" spans="1:9" ht="15.75" thickBot="1">
      <c r="A41" s="76"/>
      <c r="B41" s="136" t="s">
        <v>898</v>
      </c>
      <c r="C41" s="76"/>
      <c r="D41" s="76"/>
      <c r="E41" s="76"/>
      <c r="F41" s="76"/>
      <c r="G41" s="76"/>
      <c r="H41" s="76"/>
      <c r="I41" s="76"/>
    </row>
    <row r="42" spans="1:9" ht="15.75" thickBot="1">
      <c r="A42" s="76"/>
      <c r="B42" s="174" t="s">
        <v>899</v>
      </c>
      <c r="C42" s="76"/>
      <c r="D42" s="76"/>
      <c r="E42" s="76"/>
      <c r="F42" s="76"/>
      <c r="G42" s="76"/>
      <c r="H42" s="76"/>
      <c r="I42" s="76"/>
    </row>
    <row r="43" spans="1:9" ht="15.75" thickBot="1">
      <c r="A43" s="181" t="s">
        <v>910</v>
      </c>
      <c r="B43" s="76"/>
      <c r="C43" s="76"/>
      <c r="D43" s="76"/>
      <c r="E43" s="76"/>
      <c r="F43" s="76"/>
      <c r="G43" s="76"/>
      <c r="H43" s="76"/>
      <c r="I43" s="76"/>
    </row>
    <row r="44" spans="1:9" ht="15.75" thickBot="1">
      <c r="A44" s="76"/>
      <c r="B44" s="76"/>
      <c r="C44" s="76"/>
      <c r="D44" s="76"/>
      <c r="E44" s="76"/>
      <c r="F44" s="76"/>
      <c r="G44" s="76"/>
      <c r="H44" s="76"/>
      <c r="I44" s="76"/>
    </row>
  </sheetData>
  <mergeCells count="2">
    <mergeCell ref="A1:H1"/>
    <mergeCell ref="A2:H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1793D-936B-4309-8130-05D5F7E88FA0}">
  <dimension ref="A1:L55"/>
  <sheetViews>
    <sheetView workbookViewId="0">
      <selection activeCell="D56" sqref="D56"/>
    </sheetView>
  </sheetViews>
  <sheetFormatPr defaultRowHeight="15"/>
  <cols>
    <col min="10" max="10" width="11.5703125" bestFit="1" customWidth="1"/>
  </cols>
  <sheetData>
    <row r="1" spans="1:10" ht="19.5" thickBot="1">
      <c r="A1" s="258" t="s">
        <v>911</v>
      </c>
      <c r="B1" s="259"/>
      <c r="C1" s="259"/>
      <c r="D1" s="259"/>
      <c r="E1" s="259"/>
      <c r="F1" s="259"/>
      <c r="G1" s="259"/>
      <c r="H1" s="259"/>
      <c r="I1" s="259"/>
      <c r="J1" s="260"/>
    </row>
    <row r="2" spans="1:10" ht="15.75" thickBot="1">
      <c r="A2" s="261" t="s">
        <v>912</v>
      </c>
      <c r="B2" s="262"/>
      <c r="C2" s="262"/>
      <c r="D2" s="262"/>
      <c r="E2" s="262"/>
      <c r="F2" s="262"/>
      <c r="G2" s="262"/>
      <c r="H2" s="262"/>
      <c r="I2" s="262"/>
      <c r="J2" s="263"/>
    </row>
    <row r="3" spans="1:10" ht="15.75" thickBot="1">
      <c r="A3" s="76"/>
      <c r="B3" s="76"/>
      <c r="C3" s="76"/>
      <c r="D3" s="76"/>
      <c r="E3" s="76"/>
      <c r="F3" s="76"/>
      <c r="G3" s="76"/>
      <c r="H3" s="76"/>
      <c r="I3" s="76"/>
      <c r="J3" s="76"/>
    </row>
    <row r="4" spans="1:10" ht="15.75" thickBot="1">
      <c r="A4" s="183"/>
      <c r="B4" s="183"/>
      <c r="C4" s="183"/>
      <c r="D4" s="183"/>
      <c r="E4" s="183"/>
      <c r="F4" s="183"/>
      <c r="G4" s="183"/>
      <c r="H4" s="183"/>
      <c r="I4" s="76"/>
      <c r="J4" s="76"/>
    </row>
    <row r="5" spans="1:10" ht="27.75" thickTop="1" thickBot="1">
      <c r="A5" s="184" t="s">
        <v>389</v>
      </c>
      <c r="B5" s="185" t="s">
        <v>913</v>
      </c>
      <c r="C5" s="185" t="s">
        <v>914</v>
      </c>
      <c r="D5" s="185" t="s">
        <v>388</v>
      </c>
      <c r="E5" s="185" t="s">
        <v>915</v>
      </c>
      <c r="F5" s="185" t="s">
        <v>916</v>
      </c>
      <c r="G5" s="185" t="s">
        <v>917</v>
      </c>
      <c r="H5" s="186" t="s">
        <v>918</v>
      </c>
      <c r="I5" s="76"/>
      <c r="J5" s="76"/>
    </row>
    <row r="6" spans="1:10" ht="15.75" thickBot="1">
      <c r="A6" s="187" t="s">
        <v>753</v>
      </c>
      <c r="B6" s="169">
        <v>200</v>
      </c>
      <c r="C6" s="169">
        <v>3000</v>
      </c>
      <c r="D6" s="169" t="s">
        <v>919</v>
      </c>
      <c r="E6" s="208">
        <v>4.5</v>
      </c>
      <c r="F6" s="169">
        <v>4</v>
      </c>
      <c r="G6" s="169">
        <v>3</v>
      </c>
      <c r="H6" s="188" t="s">
        <v>920</v>
      </c>
      <c r="I6" s="76"/>
      <c r="J6" s="76"/>
    </row>
    <row r="7" spans="1:10" ht="15.75" thickBot="1">
      <c r="A7" s="187" t="s">
        <v>921</v>
      </c>
      <c r="B7" s="169">
        <v>100</v>
      </c>
      <c r="C7" s="169">
        <v>2000</v>
      </c>
      <c r="D7" s="169" t="s">
        <v>919</v>
      </c>
      <c r="E7" s="208">
        <v>2</v>
      </c>
      <c r="F7" s="169">
        <v>15</v>
      </c>
      <c r="G7" s="169">
        <v>2</v>
      </c>
      <c r="H7" s="188" t="s">
        <v>922</v>
      </c>
      <c r="I7" s="76"/>
      <c r="J7" s="76"/>
    </row>
    <row r="8" spans="1:10" ht="15.75" thickBot="1">
      <c r="A8" s="187" t="s">
        <v>923</v>
      </c>
      <c r="B8" s="169">
        <v>60</v>
      </c>
      <c r="C8" s="146"/>
      <c r="D8" s="146"/>
      <c r="E8" s="209"/>
      <c r="F8" s="146"/>
      <c r="G8" s="146"/>
      <c r="H8" s="188" t="s">
        <v>924</v>
      </c>
      <c r="I8" s="76"/>
      <c r="J8" s="76"/>
    </row>
    <row r="9" spans="1:10" ht="15.75" thickBot="1">
      <c r="A9" s="187" t="s">
        <v>925</v>
      </c>
      <c r="B9" s="169">
        <v>10</v>
      </c>
      <c r="C9" s="169">
        <v>8000</v>
      </c>
      <c r="D9" s="169" t="s">
        <v>926</v>
      </c>
      <c r="E9" s="208">
        <v>0.8</v>
      </c>
      <c r="F9" s="169">
        <v>25</v>
      </c>
      <c r="G9" s="169">
        <v>6</v>
      </c>
      <c r="H9" s="188" t="s">
        <v>927</v>
      </c>
      <c r="I9" s="76"/>
      <c r="J9" s="76"/>
    </row>
    <row r="10" spans="1:10" ht="15.75" thickBot="1">
      <c r="A10" s="187" t="s">
        <v>753</v>
      </c>
      <c r="B10" s="169">
        <v>80</v>
      </c>
      <c r="C10" s="169">
        <v>1000</v>
      </c>
      <c r="D10" s="169" t="s">
        <v>919</v>
      </c>
      <c r="E10" s="208">
        <v>0.2</v>
      </c>
      <c r="F10" s="169">
        <v>40</v>
      </c>
      <c r="G10" s="169">
        <v>3</v>
      </c>
      <c r="H10" s="188" t="s">
        <v>928</v>
      </c>
      <c r="I10" s="76"/>
      <c r="J10" s="76"/>
    </row>
    <row r="11" spans="1:10" ht="15.75" thickBot="1">
      <c r="A11" s="187" t="s">
        <v>923</v>
      </c>
      <c r="B11" s="169">
        <v>100</v>
      </c>
      <c r="C11" s="169" t="s">
        <v>929</v>
      </c>
      <c r="D11" s="169" t="s">
        <v>919</v>
      </c>
      <c r="E11" s="208">
        <v>1.25</v>
      </c>
      <c r="F11" s="169">
        <v>10</v>
      </c>
      <c r="G11" s="169">
        <v>4</v>
      </c>
      <c r="H11" s="188" t="s">
        <v>930</v>
      </c>
      <c r="I11" s="76"/>
      <c r="J11" s="76"/>
    </row>
    <row r="12" spans="1:10" ht="15.75" thickBot="1">
      <c r="A12" s="187" t="s">
        <v>923</v>
      </c>
      <c r="B12" s="169">
        <v>200</v>
      </c>
      <c r="C12" s="169">
        <v>3000</v>
      </c>
      <c r="D12" s="169" t="s">
        <v>919</v>
      </c>
      <c r="E12" s="208">
        <v>2.5</v>
      </c>
      <c r="F12" s="169">
        <v>15</v>
      </c>
      <c r="G12" s="169">
        <v>0</v>
      </c>
      <c r="H12" s="188" t="s">
        <v>924</v>
      </c>
      <c r="I12" s="76"/>
      <c r="J12" s="76"/>
    </row>
    <row r="13" spans="1:10" ht="15.75" thickBot="1">
      <c r="A13" s="187" t="s">
        <v>925</v>
      </c>
      <c r="B13" s="169">
        <v>25</v>
      </c>
      <c r="C13" s="169" t="s">
        <v>929</v>
      </c>
      <c r="D13" s="169" t="s">
        <v>926</v>
      </c>
      <c r="E13" s="208">
        <v>0.5</v>
      </c>
      <c r="F13" s="169">
        <v>10</v>
      </c>
      <c r="G13" s="169">
        <v>3</v>
      </c>
      <c r="H13" s="188" t="s">
        <v>931</v>
      </c>
      <c r="I13" s="76"/>
      <c r="J13" s="76"/>
    </row>
    <row r="14" spans="1:10" ht="15.75" thickBot="1">
      <c r="A14" s="187" t="s">
        <v>753</v>
      </c>
      <c r="B14" s="169">
        <v>200</v>
      </c>
      <c r="C14" s="169">
        <v>3000</v>
      </c>
      <c r="D14" s="169" t="s">
        <v>926</v>
      </c>
      <c r="E14" s="208">
        <v>5</v>
      </c>
      <c r="F14" s="169">
        <v>3</v>
      </c>
      <c r="G14" s="169">
        <v>2</v>
      </c>
      <c r="H14" s="188" t="s">
        <v>932</v>
      </c>
      <c r="I14" s="76"/>
      <c r="J14" s="76"/>
    </row>
    <row r="15" spans="1:10" ht="15.75" thickBot="1">
      <c r="A15" s="187" t="s">
        <v>921</v>
      </c>
      <c r="B15" s="169">
        <v>100</v>
      </c>
      <c r="C15" s="169">
        <v>2000</v>
      </c>
      <c r="D15" s="169" t="s">
        <v>926</v>
      </c>
      <c r="E15" s="208">
        <v>1.8</v>
      </c>
      <c r="F15" s="169">
        <v>20</v>
      </c>
      <c r="G15" s="169">
        <v>5</v>
      </c>
      <c r="H15" s="188" t="s">
        <v>933</v>
      </c>
      <c r="I15" s="76"/>
      <c r="J15" s="76"/>
    </row>
    <row r="16" spans="1:10" ht="15.75" thickBot="1">
      <c r="A16" s="187" t="s">
        <v>753</v>
      </c>
      <c r="B16" s="169">
        <v>100</v>
      </c>
      <c r="C16" s="169" t="s">
        <v>929</v>
      </c>
      <c r="D16" s="169" t="s">
        <v>926</v>
      </c>
      <c r="E16" s="208">
        <v>0.25</v>
      </c>
      <c r="F16" s="169">
        <v>10</v>
      </c>
      <c r="G16" s="169">
        <v>5</v>
      </c>
      <c r="H16" s="188" t="s">
        <v>934</v>
      </c>
      <c r="I16" s="76"/>
      <c r="J16" s="76"/>
    </row>
    <row r="17" spans="1:12" ht="15.75" thickBot="1">
      <c r="A17" s="187" t="s">
        <v>753</v>
      </c>
      <c r="B17" s="169">
        <v>10</v>
      </c>
      <c r="C17" s="169">
        <v>800</v>
      </c>
      <c r="D17" s="169" t="s">
        <v>919</v>
      </c>
      <c r="E17" s="208">
        <v>0.2</v>
      </c>
      <c r="F17" s="169">
        <v>25</v>
      </c>
      <c r="G17" s="169">
        <v>2</v>
      </c>
      <c r="H17" s="188" t="s">
        <v>935</v>
      </c>
      <c r="I17" s="76"/>
      <c r="J17" s="76"/>
    </row>
    <row r="18" spans="1:12" ht="15.75" thickBot="1">
      <c r="A18" s="187" t="s">
        <v>753</v>
      </c>
      <c r="B18" s="169">
        <v>60</v>
      </c>
      <c r="C18" s="169">
        <v>1000</v>
      </c>
      <c r="D18" s="169" t="s">
        <v>926</v>
      </c>
      <c r="E18" s="208">
        <v>0.15</v>
      </c>
      <c r="F18" s="169">
        <v>25</v>
      </c>
      <c r="G18" s="169">
        <v>0</v>
      </c>
      <c r="H18" s="188" t="s">
        <v>924</v>
      </c>
      <c r="I18" s="76"/>
      <c r="J18" s="76"/>
    </row>
    <row r="19" spans="1:12" ht="15.75" thickBot="1">
      <c r="A19" s="187" t="s">
        <v>753</v>
      </c>
      <c r="B19" s="169">
        <v>80</v>
      </c>
      <c r="C19" s="169">
        <v>1000</v>
      </c>
      <c r="D19" s="169" t="s">
        <v>926</v>
      </c>
      <c r="E19" s="208">
        <v>0.2</v>
      </c>
      <c r="F19" s="169">
        <v>30</v>
      </c>
      <c r="G19" s="169">
        <v>2</v>
      </c>
      <c r="H19" s="188" t="s">
        <v>936</v>
      </c>
      <c r="I19" s="76"/>
      <c r="J19" s="76"/>
    </row>
    <row r="20" spans="1:12" ht="15.75" thickBot="1">
      <c r="A20" s="187" t="s">
        <v>753</v>
      </c>
      <c r="B20" s="169">
        <v>100</v>
      </c>
      <c r="C20" s="169">
        <v>2000</v>
      </c>
      <c r="D20" s="169" t="s">
        <v>919</v>
      </c>
      <c r="E20" s="208">
        <v>0.8</v>
      </c>
      <c r="F20" s="169">
        <v>10</v>
      </c>
      <c r="G20" s="169">
        <v>5</v>
      </c>
      <c r="H20" s="188" t="s">
        <v>937</v>
      </c>
      <c r="I20" s="76"/>
      <c r="J20" s="76"/>
    </row>
    <row r="21" spans="1:12" ht="15.75" thickBot="1">
      <c r="A21" s="189" t="s">
        <v>753</v>
      </c>
      <c r="B21" s="190">
        <v>40</v>
      </c>
      <c r="C21" s="190">
        <v>1000</v>
      </c>
      <c r="D21" s="190" t="s">
        <v>919</v>
      </c>
      <c r="E21" s="210">
        <v>0.1</v>
      </c>
      <c r="F21" s="190">
        <v>20</v>
      </c>
      <c r="G21" s="190">
        <v>5</v>
      </c>
      <c r="H21" s="188" t="s">
        <v>935</v>
      </c>
      <c r="I21" s="76"/>
      <c r="J21" s="76"/>
      <c r="L21" s="211"/>
    </row>
    <row r="22" spans="1:12" ht="16.5" thickTop="1" thickBot="1">
      <c r="A22" s="76"/>
      <c r="B22" s="76"/>
      <c r="C22" s="76"/>
      <c r="D22" s="76"/>
      <c r="E22" s="76"/>
      <c r="F22" s="76"/>
      <c r="G22" s="76"/>
      <c r="H22" s="76"/>
      <c r="I22" s="76"/>
      <c r="J22" s="76"/>
    </row>
    <row r="23" spans="1:12" ht="15.75" thickBot="1">
      <c r="A23" s="136" t="s">
        <v>938</v>
      </c>
      <c r="B23" s="76"/>
      <c r="C23" s="76"/>
      <c r="D23" s="76"/>
      <c r="E23" s="76"/>
      <c r="F23" s="76"/>
      <c r="G23" s="76"/>
      <c r="H23" s="76"/>
      <c r="I23" s="76"/>
      <c r="J23" s="76"/>
    </row>
    <row r="24" spans="1:12" ht="15.75" thickBot="1">
      <c r="A24" s="76"/>
      <c r="B24" s="76"/>
      <c r="C24" s="76"/>
      <c r="D24" s="191"/>
      <c r="E24" s="76"/>
      <c r="F24" s="76"/>
      <c r="G24" s="76"/>
      <c r="H24" s="76"/>
      <c r="I24" s="76"/>
      <c r="J24" s="76"/>
    </row>
    <row r="25" spans="1:12" ht="15.75" thickBot="1">
      <c r="A25" s="76"/>
      <c r="B25" s="76"/>
      <c r="C25" s="192"/>
      <c r="D25" s="193" t="s">
        <v>388</v>
      </c>
      <c r="E25" s="212" t="s">
        <v>939</v>
      </c>
      <c r="F25" s="76"/>
      <c r="G25" s="76"/>
      <c r="H25" s="76"/>
      <c r="I25" s="76" t="s">
        <v>388</v>
      </c>
      <c r="J25" s="76" t="s">
        <v>952</v>
      </c>
    </row>
    <row r="26" spans="1:12" ht="30.75" thickBot="1">
      <c r="A26" s="76"/>
      <c r="B26" s="76"/>
      <c r="C26" s="194" t="s">
        <v>940</v>
      </c>
      <c r="D26" s="195"/>
      <c r="E26" s="76"/>
      <c r="F26" s="76"/>
      <c r="G26" s="76"/>
      <c r="H26" s="76"/>
      <c r="I26" s="76" t="s">
        <v>926</v>
      </c>
      <c r="J26" s="201">
        <f>DAVERAGE(A5:H21,E5,I25:I26)</f>
        <v>1.2428571428571427</v>
      </c>
    </row>
    <row r="27" spans="1:12" ht="15.75" thickBot="1">
      <c r="A27" s="76"/>
      <c r="B27" s="76"/>
      <c r="C27" s="76"/>
      <c r="D27" s="75"/>
      <c r="E27" s="76"/>
      <c r="F27" s="76"/>
      <c r="G27" s="76"/>
      <c r="H27" s="76"/>
      <c r="I27" s="76"/>
      <c r="J27" s="76"/>
    </row>
    <row r="28" spans="1:12" ht="15.75" thickBot="1">
      <c r="A28" s="76"/>
      <c r="B28" s="76"/>
      <c r="C28" s="196" t="s">
        <v>941</v>
      </c>
      <c r="D28" s="182">
        <f>DAVERAGE(D5:H21,E5,I25:I26)</f>
        <v>1.2428571428571427</v>
      </c>
      <c r="E28" s="174" t="s">
        <v>951</v>
      </c>
      <c r="F28" s="76"/>
      <c r="G28" s="76"/>
      <c r="H28" s="76"/>
      <c r="I28" s="76"/>
      <c r="J28" s="76"/>
    </row>
    <row r="29" spans="1:12" ht="15.75" thickBot="1">
      <c r="A29" s="76"/>
      <c r="B29" s="76"/>
      <c r="C29" s="76"/>
      <c r="D29" s="76"/>
      <c r="E29" s="76"/>
      <c r="F29" s="76"/>
      <c r="G29" s="76"/>
      <c r="H29" s="76"/>
      <c r="I29" s="76"/>
      <c r="J29" s="76"/>
    </row>
    <row r="30" spans="1:12" ht="15.75" thickBot="1">
      <c r="A30" s="175" t="s">
        <v>942</v>
      </c>
      <c r="B30" s="176"/>
      <c r="C30" s="176"/>
      <c r="D30" s="176"/>
      <c r="E30" s="176"/>
      <c r="F30" s="176"/>
      <c r="G30" s="176"/>
      <c r="H30" s="176"/>
      <c r="I30" s="176"/>
      <c r="J30" s="76"/>
    </row>
    <row r="31" spans="1:12" ht="16.5" thickTop="1" thickBot="1">
      <c r="A31" s="76"/>
      <c r="B31" s="76"/>
      <c r="C31" s="76"/>
      <c r="D31" s="76"/>
      <c r="E31" s="76"/>
      <c r="F31" s="76"/>
      <c r="G31" s="76"/>
      <c r="H31" s="76"/>
      <c r="I31" s="76"/>
      <c r="J31" s="76"/>
    </row>
    <row r="32" spans="1:12" ht="15.75" thickBot="1">
      <c r="A32" s="197" t="s">
        <v>943</v>
      </c>
      <c r="B32" s="76"/>
      <c r="C32" s="76"/>
      <c r="D32" s="76"/>
      <c r="E32" s="76"/>
      <c r="F32" s="76"/>
      <c r="G32" s="76"/>
      <c r="H32" s="76"/>
      <c r="I32" s="76"/>
      <c r="J32" s="76"/>
    </row>
    <row r="33" spans="1:10" ht="15.75" thickBot="1">
      <c r="A33" s="76"/>
      <c r="B33" s="76"/>
      <c r="C33" s="76"/>
      <c r="D33" s="191"/>
      <c r="E33" s="191"/>
      <c r="F33" s="76"/>
      <c r="G33" s="76"/>
      <c r="H33" s="76"/>
      <c r="I33" s="76"/>
      <c r="J33" s="76"/>
    </row>
    <row r="34" spans="1:10" ht="15.75" thickBot="1">
      <c r="A34" s="76"/>
      <c r="B34" s="76"/>
      <c r="C34" s="192"/>
      <c r="D34" s="169" t="s">
        <v>389</v>
      </c>
      <c r="E34" s="193" t="s">
        <v>388</v>
      </c>
      <c r="F34" s="76"/>
      <c r="G34" s="76"/>
      <c r="H34" s="76"/>
      <c r="I34" s="76"/>
      <c r="J34" s="76"/>
    </row>
    <row r="35" spans="1:10" ht="15.75" thickBot="1">
      <c r="A35" s="76"/>
      <c r="B35" s="76"/>
      <c r="C35" s="192"/>
      <c r="D35" s="198" t="s">
        <v>753</v>
      </c>
      <c r="E35" s="195" t="s">
        <v>919</v>
      </c>
      <c r="F35" s="76"/>
      <c r="G35" s="76"/>
      <c r="H35" s="76"/>
      <c r="I35" s="76"/>
      <c r="J35" s="76"/>
    </row>
    <row r="36" spans="1:10" ht="15.75" thickBot="1">
      <c r="A36" s="76"/>
      <c r="B36" s="76"/>
      <c r="C36" s="76"/>
      <c r="D36" s="75"/>
      <c r="E36" s="76"/>
      <c r="F36" s="76"/>
      <c r="G36" s="76"/>
      <c r="H36" s="76"/>
      <c r="I36" s="76"/>
      <c r="J36" s="76"/>
    </row>
    <row r="37" spans="1:10" ht="15.75" thickBot="1">
      <c r="A37" s="76"/>
      <c r="B37" s="76"/>
      <c r="C37" s="196" t="s">
        <v>944</v>
      </c>
      <c r="D37" s="214">
        <f>DAVERAGE(A5:H21,E5,D34:E35)</f>
        <v>1.1599999999999999</v>
      </c>
      <c r="E37" s="174" t="e">
        <f>DAVERAGE(B3:I19,F3,E49:F50)</f>
        <v>#VALUE!</v>
      </c>
      <c r="F37" s="76"/>
      <c r="G37" s="76"/>
      <c r="H37" s="76"/>
      <c r="I37" s="76"/>
      <c r="J37" s="76"/>
    </row>
    <row r="38" spans="1:10" ht="15.75" thickBot="1">
      <c r="A38" s="76"/>
      <c r="B38" s="76"/>
      <c r="C38" s="76"/>
      <c r="D38" s="201"/>
      <c r="E38" s="76"/>
      <c r="F38" s="76"/>
      <c r="G38" s="76"/>
      <c r="H38" s="76"/>
      <c r="I38" s="76"/>
      <c r="J38" s="76"/>
    </row>
    <row r="39" spans="1:10" ht="15.75" thickBot="1">
      <c r="A39" s="136" t="s">
        <v>945</v>
      </c>
      <c r="B39" s="76"/>
      <c r="C39" s="76"/>
      <c r="D39" s="76"/>
      <c r="E39" s="76"/>
      <c r="F39" s="76"/>
      <c r="G39" s="76"/>
      <c r="H39" s="76"/>
      <c r="I39" s="76"/>
      <c r="J39" s="76"/>
    </row>
    <row r="40" spans="1:10" ht="15.75" thickBot="1">
      <c r="A40" s="76"/>
      <c r="B40" s="76"/>
      <c r="C40" s="76"/>
      <c r="D40" s="75"/>
      <c r="E40" s="76"/>
      <c r="F40" s="76"/>
      <c r="G40" s="76"/>
      <c r="H40" s="76"/>
      <c r="I40" s="76"/>
      <c r="J40" s="76"/>
    </row>
    <row r="41" spans="1:10" ht="15.75" thickBot="1">
      <c r="A41" s="76"/>
      <c r="B41" s="76"/>
      <c r="C41" s="79"/>
      <c r="D41" s="173">
        <f>DAVERAGE(A5:H21,"Unit Cost",D34:E35)</f>
        <v>1.1599999999999999</v>
      </c>
      <c r="E41" s="174" t="e">
        <f>DAVERAGE(B3:I19,"Unit Cost",E49:F50)</f>
        <v>#VALUE!</v>
      </c>
      <c r="F41" s="76"/>
      <c r="G41" s="76"/>
      <c r="H41" s="76"/>
      <c r="I41" s="76"/>
      <c r="J41" s="76"/>
    </row>
    <row r="42" spans="1:10" ht="15.75" thickBot="1">
      <c r="A42" s="75"/>
      <c r="B42" s="75"/>
      <c r="C42" s="75"/>
      <c r="D42" s="75"/>
      <c r="E42" s="75"/>
      <c r="F42" s="75"/>
      <c r="G42" s="75"/>
      <c r="H42" s="75"/>
      <c r="I42" s="75"/>
      <c r="J42" s="76"/>
    </row>
    <row r="43" spans="1:10" ht="15.75" thickBot="1">
      <c r="A43" s="197" t="s">
        <v>946</v>
      </c>
      <c r="B43" s="76"/>
      <c r="C43" s="76"/>
      <c r="D43" s="76"/>
      <c r="E43" s="76"/>
      <c r="F43" s="76"/>
      <c r="G43" s="76"/>
      <c r="H43" s="76"/>
      <c r="I43" s="76"/>
      <c r="J43" s="76"/>
    </row>
    <row r="44" spans="1:10" ht="15.75" thickBot="1">
      <c r="A44" s="76"/>
      <c r="B44" s="76"/>
      <c r="C44" s="76"/>
      <c r="D44" s="191"/>
      <c r="E44" s="191"/>
      <c r="F44" s="76"/>
      <c r="G44" s="76"/>
      <c r="H44" s="76"/>
      <c r="I44" s="76"/>
      <c r="J44" s="76"/>
    </row>
    <row r="45" spans="1:10" ht="15.75" thickBot="1">
      <c r="A45" s="76"/>
      <c r="B45" s="76"/>
      <c r="C45" s="192"/>
      <c r="D45" s="169" t="s">
        <v>389</v>
      </c>
      <c r="E45" s="193" t="s">
        <v>913</v>
      </c>
      <c r="F45" s="76"/>
      <c r="G45" s="76"/>
      <c r="H45" s="76"/>
      <c r="I45" s="76"/>
      <c r="J45" s="76"/>
    </row>
    <row r="46" spans="1:10" ht="15.75" thickBot="1">
      <c r="A46" s="76"/>
      <c r="B46" s="76"/>
      <c r="C46" s="192"/>
      <c r="D46" s="198" t="s">
        <v>753</v>
      </c>
      <c r="E46" s="195">
        <v>100</v>
      </c>
      <c r="F46" s="76"/>
      <c r="G46" s="76"/>
      <c r="H46" s="76"/>
      <c r="I46" s="76"/>
      <c r="J46" s="76"/>
    </row>
    <row r="47" spans="1:10" ht="15.75" thickBot="1">
      <c r="A47" s="76"/>
      <c r="B47" s="76"/>
      <c r="C47" s="76"/>
      <c r="D47" s="75"/>
      <c r="E47" s="76"/>
      <c r="F47" s="76"/>
      <c r="G47" s="76"/>
      <c r="H47" s="76"/>
      <c r="I47" s="76"/>
      <c r="J47" s="76"/>
    </row>
    <row r="48" spans="1:10" ht="15.75" thickBot="1">
      <c r="A48" s="76"/>
      <c r="B48" s="76"/>
      <c r="C48" s="196" t="s">
        <v>947</v>
      </c>
      <c r="D48" s="173">
        <f>DAVERAGE(A5:H21,E5,D45:E46)</f>
        <v>0.52500000000000002</v>
      </c>
      <c r="E48" s="136" t="e">
        <f>DAVERAGE(B3:I19,"Unit Cost",E60:F61)</f>
        <v>#VALUE!</v>
      </c>
      <c r="F48" s="76"/>
      <c r="G48" s="76"/>
      <c r="H48" s="76"/>
      <c r="I48" s="76"/>
      <c r="J48" s="76"/>
    </row>
    <row r="49" spans="1:10" ht="15.75" thickBot="1">
      <c r="A49" s="75"/>
      <c r="B49" s="75"/>
      <c r="C49" s="75"/>
      <c r="D49" s="75"/>
      <c r="E49" s="75"/>
      <c r="F49" s="75"/>
      <c r="G49" s="75"/>
      <c r="H49" s="75"/>
      <c r="I49" s="75"/>
      <c r="J49" s="76"/>
    </row>
    <row r="50" spans="1:10" ht="15.75" thickBot="1">
      <c r="A50" s="197" t="s">
        <v>948</v>
      </c>
      <c r="B50" s="76"/>
      <c r="C50" s="76"/>
      <c r="D50" s="76"/>
      <c r="E50" s="76"/>
      <c r="F50" s="76"/>
      <c r="G50" s="76"/>
      <c r="H50" s="76"/>
      <c r="I50" s="76"/>
      <c r="J50" s="76"/>
    </row>
    <row r="51" spans="1:10" ht="15.75" thickBot="1">
      <c r="A51" s="76"/>
      <c r="B51" s="76"/>
      <c r="C51" s="76"/>
      <c r="D51" s="191"/>
      <c r="E51" s="191"/>
      <c r="F51" s="76"/>
      <c r="G51" s="76"/>
      <c r="H51" s="76"/>
      <c r="I51" s="76"/>
      <c r="J51" s="76"/>
    </row>
    <row r="52" spans="1:10" ht="15.75" thickBot="1">
      <c r="A52" s="76"/>
      <c r="B52" s="76"/>
      <c r="C52" s="192"/>
      <c r="D52" s="169" t="s">
        <v>389</v>
      </c>
      <c r="E52" s="193" t="s">
        <v>913</v>
      </c>
      <c r="F52" s="76"/>
      <c r="G52" s="76"/>
      <c r="H52" s="76"/>
      <c r="I52" s="76"/>
      <c r="J52" s="76"/>
    </row>
    <row r="53" spans="1:10" ht="15.75" thickBot="1">
      <c r="A53" s="76"/>
      <c r="B53" s="76"/>
      <c r="C53" s="192"/>
      <c r="D53" s="199" t="s">
        <v>753</v>
      </c>
      <c r="E53" s="213" t="s">
        <v>949</v>
      </c>
      <c r="F53" s="76"/>
      <c r="G53" s="76"/>
      <c r="H53" s="76"/>
      <c r="I53" s="76"/>
      <c r="J53" s="76"/>
    </row>
    <row r="54" spans="1:10" ht="15.75" thickBot="1">
      <c r="A54" s="76"/>
      <c r="B54" s="76"/>
      <c r="C54" s="76"/>
      <c r="D54" s="75"/>
      <c r="E54" s="76"/>
      <c r="F54" s="76"/>
      <c r="G54" s="76"/>
      <c r="H54" s="76"/>
      <c r="I54" s="76"/>
      <c r="J54" s="76"/>
    </row>
    <row r="55" spans="1:10" ht="15.75" thickBot="1">
      <c r="A55" s="76"/>
      <c r="B55" s="76"/>
      <c r="C55" s="196" t="s">
        <v>950</v>
      </c>
      <c r="D55" s="200">
        <f>DAVERAGE(A5:H21,E5,D52:E53)</f>
        <v>0.16999999999999998</v>
      </c>
      <c r="E55" s="174" t="e">
        <f>DAVERAGE(B3:I19,"Unit Cost",E67:F68)</f>
        <v>#VALUE!</v>
      </c>
      <c r="F55" s="76"/>
      <c r="G55" s="76"/>
      <c r="H55" s="76"/>
      <c r="I55" s="76"/>
      <c r="J55" s="76"/>
    </row>
  </sheetData>
  <mergeCells count="2">
    <mergeCell ref="A1:J1"/>
    <mergeCell ref="A2:J2"/>
  </mergeCells>
  <phoneticPr fontId="9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AAEF0-1373-4F0B-904A-80B0AEDEA640}">
  <dimension ref="A1:G38"/>
  <sheetViews>
    <sheetView workbookViewId="0">
      <selection activeCell="C39" sqref="C39"/>
    </sheetView>
  </sheetViews>
  <sheetFormatPr defaultRowHeight="15"/>
  <cols>
    <col min="1" max="1" width="16.7109375" customWidth="1"/>
    <col min="2" max="2" width="13" customWidth="1"/>
  </cols>
  <sheetData>
    <row r="1" spans="1:7" ht="19.5" thickBot="1">
      <c r="A1" s="258" t="s">
        <v>953</v>
      </c>
      <c r="B1" s="259"/>
      <c r="C1" s="259"/>
      <c r="D1" s="259"/>
      <c r="E1" s="259"/>
      <c r="F1" s="260"/>
      <c r="G1" s="76"/>
    </row>
    <row r="2" spans="1:7" ht="15.75" thickBot="1">
      <c r="A2" s="261" t="s">
        <v>954</v>
      </c>
      <c r="B2" s="262"/>
      <c r="C2" s="262"/>
      <c r="D2" s="262"/>
      <c r="E2" s="262"/>
      <c r="F2" s="262"/>
      <c r="G2" s="263"/>
    </row>
    <row r="3" spans="1:7" ht="15.75" thickBot="1">
      <c r="A3" s="75"/>
      <c r="B3" s="202" t="s">
        <v>955</v>
      </c>
      <c r="C3" s="75"/>
      <c r="D3" s="76"/>
      <c r="E3" s="76"/>
      <c r="F3" s="76"/>
      <c r="G3" s="76"/>
    </row>
    <row r="4" spans="1:7" ht="45" customHeight="1" thickBot="1">
      <c r="A4" s="168" t="s">
        <v>956</v>
      </c>
      <c r="B4" s="169" t="s">
        <v>957</v>
      </c>
      <c r="C4" s="169" t="s">
        <v>958</v>
      </c>
      <c r="D4" s="76"/>
      <c r="E4" s="76"/>
      <c r="F4" s="76"/>
      <c r="G4" s="76"/>
    </row>
    <row r="5" spans="1:7" ht="15.75" thickBot="1">
      <c r="A5" s="203" t="s">
        <v>959</v>
      </c>
      <c r="B5" s="204">
        <v>1</v>
      </c>
      <c r="C5" s="173" t="str">
        <f>LEFT(A5,B5)</f>
        <v>A</v>
      </c>
      <c r="D5" s="174" t="s">
        <v>960</v>
      </c>
      <c r="E5" s="76"/>
      <c r="F5" s="76"/>
      <c r="G5" s="76"/>
    </row>
    <row r="6" spans="1:7" ht="15.75" thickBot="1">
      <c r="A6" s="203" t="s">
        <v>959</v>
      </c>
      <c r="B6" s="204">
        <v>2</v>
      </c>
      <c r="C6" s="173" t="str">
        <f>LEFT(A6,B6)</f>
        <v>Al</v>
      </c>
      <c r="D6" s="76"/>
      <c r="E6" s="76"/>
      <c r="F6" s="76"/>
      <c r="G6" s="76"/>
    </row>
    <row r="7" spans="1:7" ht="15.75" thickBot="1">
      <c r="A7" s="203" t="s">
        <v>959</v>
      </c>
      <c r="B7" s="204">
        <v>3</v>
      </c>
      <c r="C7" s="173" t="str">
        <f>LEFT(A7,B7)</f>
        <v>Ala</v>
      </c>
      <c r="D7" s="76"/>
      <c r="E7" s="76"/>
      <c r="F7" s="76"/>
      <c r="G7" s="76"/>
    </row>
    <row r="8" spans="1:7" ht="15.75" thickBot="1">
      <c r="A8" s="203" t="s">
        <v>961</v>
      </c>
      <c r="B8" s="204">
        <v>6</v>
      </c>
      <c r="C8" s="173" t="str">
        <f>LEFT(A8,B8)</f>
        <v>Cardif</v>
      </c>
      <c r="D8" s="76"/>
      <c r="E8" s="76"/>
      <c r="F8" s="76"/>
      <c r="G8" s="76"/>
    </row>
    <row r="9" spans="1:7" ht="15.75" thickBot="1">
      <c r="A9" s="203" t="s">
        <v>962</v>
      </c>
      <c r="B9" s="204">
        <v>4</v>
      </c>
      <c r="C9" s="173" t="str">
        <f>LEFT(A9,B9)</f>
        <v>ABC1</v>
      </c>
      <c r="D9" s="76"/>
      <c r="E9" s="76"/>
      <c r="F9" s="76"/>
      <c r="G9" s="76"/>
    </row>
    <row r="10" spans="1:7" ht="15.75" thickBot="1">
      <c r="A10" s="76"/>
      <c r="B10" s="76"/>
      <c r="C10" s="76"/>
      <c r="D10" s="76"/>
      <c r="E10" s="76"/>
      <c r="F10" s="76"/>
      <c r="G10" s="76"/>
    </row>
    <row r="11" spans="1:7" ht="33.75" customHeight="1" thickBot="1">
      <c r="A11" s="75"/>
      <c r="B11" s="202" t="s">
        <v>963</v>
      </c>
      <c r="C11" s="76"/>
      <c r="D11" s="76"/>
      <c r="E11" s="76"/>
      <c r="F11" s="76"/>
      <c r="G11" s="76"/>
    </row>
    <row r="12" spans="1:7" ht="15.75" thickBot="1">
      <c r="A12" s="168" t="s">
        <v>547</v>
      </c>
      <c r="B12" s="169" t="s">
        <v>545</v>
      </c>
      <c r="C12" s="76"/>
      <c r="D12" s="76"/>
      <c r="E12" s="76"/>
      <c r="F12" s="76"/>
      <c r="G12" s="76"/>
    </row>
    <row r="13" spans="1:7" ht="15.75" thickBot="1">
      <c r="A13" s="203" t="s">
        <v>959</v>
      </c>
      <c r="B13" s="173" t="str">
        <f>LEFT(A13,4)</f>
        <v>Alan</v>
      </c>
      <c r="C13" s="205" t="str">
        <f>LEFT(A12,FIND(" ",A12)-1)</f>
        <v>Full</v>
      </c>
      <c r="D13" s="76"/>
      <c r="E13" s="76"/>
      <c r="F13" s="76"/>
      <c r="G13" s="76"/>
    </row>
    <row r="14" spans="1:7" ht="15.75" thickBot="1">
      <c r="A14" s="203" t="s">
        <v>964</v>
      </c>
      <c r="B14" s="173" t="str">
        <f>LEFT(A14,3)</f>
        <v>Bob</v>
      </c>
      <c r="C14" s="76"/>
      <c r="D14" s="76"/>
      <c r="E14" s="76"/>
      <c r="F14" s="76"/>
      <c r="G14" s="76"/>
    </row>
    <row r="15" spans="1:7" ht="15.75" thickBot="1">
      <c r="A15" s="203" t="s">
        <v>965</v>
      </c>
      <c r="B15" s="173" t="str">
        <f>LEFT(A15,5)</f>
        <v>Carol</v>
      </c>
      <c r="C15" s="76"/>
      <c r="D15" s="76"/>
      <c r="E15" s="76"/>
      <c r="F15" s="76"/>
      <c r="G15" s="76"/>
    </row>
    <row r="16" spans="1:7" ht="15.75" thickBot="1">
      <c r="A16" s="76"/>
      <c r="B16" s="76"/>
      <c r="C16" s="76"/>
      <c r="D16" s="76"/>
      <c r="E16" s="76"/>
      <c r="F16" s="76"/>
      <c r="G16" s="76"/>
    </row>
    <row r="17" spans="1:7" ht="21" customHeight="1" thickBot="1">
      <c r="A17" s="75"/>
      <c r="B17" s="202" t="s">
        <v>966</v>
      </c>
      <c r="C17" s="76"/>
      <c r="D17" s="76"/>
      <c r="E17" s="76"/>
      <c r="F17" s="76"/>
      <c r="G17" s="76"/>
    </row>
    <row r="18" spans="1:7" ht="15.75" thickBot="1">
      <c r="A18" s="168" t="s">
        <v>956</v>
      </c>
      <c r="B18" s="169" t="s">
        <v>967</v>
      </c>
      <c r="C18" s="76"/>
      <c r="D18" s="76"/>
      <c r="E18" s="76"/>
      <c r="F18" s="76"/>
      <c r="G18" s="76"/>
    </row>
    <row r="19" spans="1:7" ht="15.75" thickBot="1">
      <c r="A19" s="203" t="s">
        <v>959</v>
      </c>
      <c r="B19" s="173">
        <f>LEN(A19)</f>
        <v>10</v>
      </c>
      <c r="C19" s="205">
        <f>LEN(A18)</f>
        <v>4</v>
      </c>
      <c r="D19" s="76"/>
      <c r="E19" s="76"/>
      <c r="F19" s="76"/>
      <c r="G19" s="76"/>
    </row>
    <row r="20" spans="1:7" ht="15.75" thickBot="1">
      <c r="A20" s="203" t="s">
        <v>964</v>
      </c>
      <c r="B20" s="173">
        <f>LEN(A20)</f>
        <v>9</v>
      </c>
      <c r="C20" s="76"/>
      <c r="D20" s="76"/>
      <c r="E20" s="76"/>
      <c r="F20" s="76"/>
      <c r="G20" s="76"/>
    </row>
    <row r="21" spans="1:7" ht="15.75" thickBot="1">
      <c r="A21" s="203" t="s">
        <v>965</v>
      </c>
      <c r="B21" s="173">
        <f>LEN(A21)</f>
        <v>14</v>
      </c>
      <c r="C21" s="76"/>
      <c r="D21" s="76"/>
      <c r="E21" s="76"/>
      <c r="F21" s="76"/>
      <c r="G21" s="76"/>
    </row>
    <row r="22" spans="1:7" ht="15.75" thickBot="1">
      <c r="A22" s="203" t="s">
        <v>961</v>
      </c>
      <c r="B22" s="173">
        <f>LEN(A22)</f>
        <v>7</v>
      </c>
      <c r="C22" s="76"/>
      <c r="D22" s="76"/>
      <c r="E22" s="76"/>
      <c r="F22" s="76"/>
      <c r="G22" s="76"/>
    </row>
    <row r="23" spans="1:7" ht="15.75" thickBot="1">
      <c r="A23" s="203" t="s">
        <v>962</v>
      </c>
      <c r="B23" s="173">
        <f>LEN(A23)</f>
        <v>6</v>
      </c>
      <c r="C23" s="76"/>
      <c r="D23" s="76"/>
      <c r="E23" s="76"/>
      <c r="F23" s="76"/>
      <c r="G23" s="76"/>
    </row>
    <row r="24" spans="1:7" ht="15.75" thickBot="1">
      <c r="A24" s="76"/>
      <c r="B24" s="76"/>
      <c r="C24" s="76"/>
      <c r="D24" s="76"/>
      <c r="E24" s="76"/>
      <c r="F24" s="76"/>
      <c r="G24" s="76"/>
    </row>
    <row r="25" spans="1:7" ht="27" thickBot="1">
      <c r="A25" s="75"/>
      <c r="B25" s="206" t="s">
        <v>968</v>
      </c>
      <c r="C25" s="76"/>
      <c r="D25" s="76"/>
      <c r="E25" s="76"/>
      <c r="F25" s="76"/>
      <c r="G25" s="76"/>
    </row>
    <row r="26" spans="1:7" ht="27.75" customHeight="1" thickBot="1">
      <c r="A26" s="168" t="s">
        <v>969</v>
      </c>
      <c r="B26" s="169" t="s">
        <v>970</v>
      </c>
      <c r="C26" s="76"/>
      <c r="D26" s="76"/>
      <c r="E26" s="76"/>
      <c r="F26" s="76"/>
      <c r="G26" s="76"/>
    </row>
    <row r="27" spans="1:7" ht="27" thickBot="1">
      <c r="A27" s="203" t="s">
        <v>971</v>
      </c>
      <c r="B27" s="173" t="str">
        <f>LOWER(A27)</f>
        <v>alan jones</v>
      </c>
      <c r="C27" s="205" t="str">
        <f>LOWER(A27)</f>
        <v>alan jones</v>
      </c>
      <c r="D27" s="76"/>
      <c r="E27" s="76"/>
      <c r="F27" s="76"/>
      <c r="G27" s="76"/>
    </row>
    <row r="28" spans="1:7" ht="15.75" thickBot="1">
      <c r="A28" s="203" t="s">
        <v>972</v>
      </c>
      <c r="B28" s="173" t="str">
        <f>LOWER(A28)</f>
        <v>bob smith</v>
      </c>
      <c r="C28" s="76"/>
      <c r="D28" s="76"/>
      <c r="E28" s="76"/>
      <c r="F28" s="76"/>
      <c r="G28" s="76"/>
    </row>
    <row r="29" spans="1:7" ht="27" thickBot="1">
      <c r="A29" s="203" t="s">
        <v>973</v>
      </c>
      <c r="B29" s="173" t="str">
        <f>LOWER(A29)</f>
        <v>carol williams</v>
      </c>
      <c r="C29" s="76"/>
      <c r="D29" s="76"/>
      <c r="E29" s="76"/>
      <c r="F29" s="76"/>
      <c r="G29" s="76"/>
    </row>
    <row r="30" spans="1:7" ht="15.75" thickBot="1">
      <c r="A30" s="203" t="s">
        <v>974</v>
      </c>
      <c r="B30" s="173" t="str">
        <f>LOWER(A30)</f>
        <v>cardiff</v>
      </c>
      <c r="C30" s="76"/>
      <c r="D30" s="76"/>
      <c r="E30" s="76"/>
      <c r="F30" s="76"/>
      <c r="G30" s="76"/>
    </row>
    <row r="31" spans="1:7" ht="15.75" thickBot="1">
      <c r="A31" s="203" t="s">
        <v>962</v>
      </c>
      <c r="B31" s="173" t="str">
        <f>LOWER(A31)</f>
        <v>abc123</v>
      </c>
      <c r="C31" s="76"/>
      <c r="D31" s="76"/>
      <c r="E31" s="76"/>
      <c r="F31" s="76"/>
      <c r="G31" s="76"/>
    </row>
    <row r="32" spans="1:7" ht="15.75" thickBot="1">
      <c r="A32" s="76"/>
      <c r="B32" s="76"/>
      <c r="C32" s="76"/>
      <c r="D32" s="76"/>
      <c r="E32" s="76"/>
      <c r="F32" s="76"/>
      <c r="G32" s="76"/>
    </row>
    <row r="33" spans="1:7" ht="15.75" thickBot="1">
      <c r="A33" s="76"/>
      <c r="B33" s="207" t="s">
        <v>975</v>
      </c>
      <c r="C33" s="76"/>
      <c r="D33" s="76"/>
      <c r="E33" s="76"/>
      <c r="F33" s="76"/>
      <c r="G33" s="76"/>
    </row>
    <row r="34" spans="1:7" ht="15.75" thickBot="1">
      <c r="A34" s="75"/>
      <c r="B34" s="75"/>
      <c r="C34" s="75"/>
      <c r="D34" s="76"/>
      <c r="E34" s="76"/>
      <c r="F34" s="76"/>
      <c r="G34" s="76"/>
    </row>
    <row r="35" spans="1:7" ht="27" thickBot="1">
      <c r="A35" s="168" t="s">
        <v>976</v>
      </c>
      <c r="B35" s="169" t="s">
        <v>977</v>
      </c>
      <c r="C35" s="169" t="s">
        <v>978</v>
      </c>
      <c r="D35" s="76"/>
      <c r="E35" s="76"/>
      <c r="F35" s="76"/>
      <c r="G35" s="76"/>
    </row>
    <row r="36" spans="1:7" ht="15.75" thickBot="1">
      <c r="A36" s="171">
        <v>35855</v>
      </c>
      <c r="B36" s="172">
        <v>35861</v>
      </c>
      <c r="C36" s="173">
        <f>NETWORKDAYS(A36,B36)</f>
        <v>5</v>
      </c>
      <c r="D36" s="174">
        <f>NETWORKDAYS(A36,B36)</f>
        <v>5</v>
      </c>
      <c r="E36" s="76">
        <f>NETWORKDAYS(A36,B36)</f>
        <v>5</v>
      </c>
      <c r="F36" s="76"/>
      <c r="G36" s="76"/>
    </row>
    <row r="37" spans="1:7" ht="15.75" thickBot="1">
      <c r="A37" s="171">
        <v>35910</v>
      </c>
      <c r="B37" s="172">
        <v>36006</v>
      </c>
      <c r="C37" s="173">
        <f>NETWORKDAYS(A37,B37)</f>
        <v>69</v>
      </c>
      <c r="D37" s="76"/>
      <c r="E37" s="76"/>
      <c r="F37" s="76"/>
      <c r="G37" s="76"/>
    </row>
    <row r="38" spans="1:7" ht="15.75" thickBot="1">
      <c r="A38" s="171">
        <v>36153</v>
      </c>
      <c r="B38" s="172">
        <v>36165</v>
      </c>
      <c r="C38" s="173">
        <f>NETWORKDAYS(A38,B38)</f>
        <v>9</v>
      </c>
      <c r="D38" s="76"/>
      <c r="E38" s="76"/>
      <c r="F38" s="76"/>
      <c r="G38" s="76"/>
    </row>
  </sheetData>
  <mergeCells count="2">
    <mergeCell ref="A1:F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Sheet1</vt:lpstr>
      <vt:lpstr>Sheet2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Sheet37</vt:lpstr>
      <vt:lpstr>Sheet39</vt:lpstr>
      <vt:lpstr>Sheet31</vt:lpstr>
      <vt:lpstr>Sheet32</vt:lpstr>
      <vt:lpstr>Sheet33</vt:lpstr>
      <vt:lpstr>Sheet34</vt:lpstr>
      <vt:lpstr>Sheet35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yaman kumar acharya</dc:creator>
  <cp:lastModifiedBy>yaman kumar acharya</cp:lastModifiedBy>
  <cp:lastPrinted>2026-01-01T16:41:22Z</cp:lastPrinted>
  <dcterms:created xsi:type="dcterms:W3CDTF">2025-12-18T03:32:43Z</dcterms:created>
  <dcterms:modified xsi:type="dcterms:W3CDTF">2026-01-01T17:05:13Z</dcterms:modified>
</cp:coreProperties>
</file>